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b_potions" sheetId="1" r:id="rId5"/>
    <sheet state="visible" name="db_poisons" sheetId="2" r:id="rId6"/>
    <sheet state="visible" name="db_elixirs" sheetId="3" r:id="rId7"/>
    <sheet state="visible" name="db_bombs" sheetId="4" r:id="rId8"/>
    <sheet state="visible" name="Óleos" sheetId="5" r:id="rId9"/>
  </sheets>
  <definedNames/>
  <calcPr/>
</workbook>
</file>

<file path=xl/sharedStrings.xml><?xml version="1.0" encoding="utf-8"?>
<sst xmlns="http://schemas.openxmlformats.org/spreadsheetml/2006/main" count="1399" uniqueCount="302">
  <si>
    <t>consumable_id</t>
  </si>
  <si>
    <t>consumable_name</t>
  </si>
  <si>
    <t>consumable_box_name</t>
  </si>
  <si>
    <t>consumable_tier</t>
  </si>
  <si>
    <t>consumable_type</t>
  </si>
  <si>
    <t>consumable_category</t>
  </si>
  <si>
    <t>consumable_ingredients</t>
  </si>
  <si>
    <t>consumable_duration</t>
  </si>
  <si>
    <t>consumable_effect</t>
  </si>
  <si>
    <t>consumable_toxicity</t>
  </si>
  <si>
    <t>consumable_price</t>
  </si>
  <si>
    <t>consumable_weight</t>
  </si>
  <si>
    <t>consumable_description</t>
  </si>
  <si>
    <t>consumable_observation</t>
  </si>
  <si>
    <t>potion-000</t>
  </si>
  <si>
    <t>Purificador</t>
  </si>
  <si>
    <t>Comum</t>
  </si>
  <si>
    <t>Poção</t>
  </si>
  <si>
    <t>Utilidade</t>
  </si>
  <si>
    <t>Instantânea</t>
  </si>
  <si>
    <t>Remove 1d6 de toxicidade.</t>
  </si>
  <si>
    <t xml:space="preserve">
- Um líquido de coloração branca leitosa, homogênea e suave, com brilho discreto que lembra porcelana polida sob a luz.
- Diferente de outras poções, não apresenta redemoinhos intensos; seu conteúdo permanece estável, formando ondulações lentas e perfeitamente uniformes quando o frasco é movimentado, como se impurezas simplesmente não pudessem existir em sua presença.
- Sua consistência é levemente sedosa, mais encorpada que água, mas sem viscosidade pesada.
- O aroma é limpo e sereno — notas minerais suaves, vapor quente e um traço quase imperceptível de ervas purificadoras.
- Ao ser ingerido, a sensação é imediata e silenciosa: um frescor que percorre o corpo seguido por uma neutralidade profunda, como se excessos, resíduos e influências estranhas fossem dissolvidos. Qualquer desconforto associado a toxinas parece recuar abruptamente, deixando apenas clareza física e estabilidade.</t>
  </si>
  <si>
    <t xml:space="preserve">
- Qualquer efeito alquímico ativo será cessado.</t>
  </si>
  <si>
    <t>Boa</t>
  </si>
  <si>
    <t>Remove 1d6 + 6 de toxicidade.</t>
  </si>
  <si>
    <t>Superior</t>
  </si>
  <si>
    <t>Remove 1d6 + 12 de toxicidade.</t>
  </si>
  <si>
    <t>Excelente</t>
  </si>
  <si>
    <t>Remove 1d6 + 18 de toxicidade.</t>
  </si>
  <si>
    <t>Obra-Prima</t>
  </si>
  <si>
    <t>Remove 1d6 + 24 de toxicidade.</t>
  </si>
  <si>
    <t>Poção de Vida</t>
  </si>
  <si>
    <t>Restauração</t>
  </si>
  <si>
    <t>Restaura 1d6 PV.</t>
  </si>
  <si>
    <t xml:space="preserve">
- Um líquido límpido de coloração rubi translúcida, cuja tonalidade varia suavemente conforme a luz, lembrando sangue visto através de cristal.
- Quando agitada, forma redemoinhos mais claros que desaparecem lentamente, como se a própria energia do conteúdo estivesse se reorganizando. A viscosidade é levemente superior à da água, permitindo que escorra pelo vidro com elegância sedosa.
- Seu aroma é suave e reconfortante — notas de ervas frescas, mel discreto e um fundo mineral limpo. Ao ser ingerida, espalha uma sensação imediata de calor controlado pelo corpo, não como fogo, mas como vitalidade retornando aos tecidos.
- Pequenas dores diminuem, a respiração se aprofunda e a pele parece recuperar cor e firmeza, como se o corpo fosse gentilmente lembrado de como se reconstruir.</t>
  </si>
  <si>
    <t xml:space="preserve">
- Não cura doenças nem neutraliza venenos, mas pode curar danos causados ​​por estes.
-Possui uma penalidade cumulativa de -1 ao ser utilizada em alguém que já consumiu anteriormente  essa poção no mesmo dia.</t>
  </si>
  <si>
    <t>Restaura 1d6 + 6 PV.</t>
  </si>
  <si>
    <t>Restaura 1d6 + 12 PV.</t>
  </si>
  <si>
    <t>Restaura 1d6 + 18 PV.</t>
  </si>
  <si>
    <t>Restaura 1d6 + 24 PV.</t>
  </si>
  <si>
    <t>Poção de Vida Contínua</t>
  </si>
  <si>
    <t>2 Turnos</t>
  </si>
  <si>
    <t xml:space="preserve">
- Um líquido de tonalidade carmesim suave com reflexos dourados que se movem lentamente no interior do frasco, como fios de luz suspensos.
- Diferente da Poção de Vida comum, sua consistência é um pouco mais densa e estável, formando camadas sutis que se misturam gradualmente quando o recipiente é agitado.
- Observada contra a luz, parece pulsar em intervalos lentos, sugerindo energia constante em vez de um único impulso.
- O aroma é delicado e persistente — ervas restauradoras, mel aquecido e um leve traço resinoso. Ao ser ingerida, a sensação não vem em um único fluxo intenso, mas em ondas sucessivas: pequenos pulsos de calor percorrem o corpo, fechando ferimentos, reduzindo a dor e sustentando a recuperação ao longo do tempo, como uma vitalidade que insiste em permanecer.</t>
  </si>
  <si>
    <t xml:space="preserve">
- A cura ocorre no início de cada turno do alvo.
- Não cura doenças nem neutraliza venenos, mas pode curar danos causados ​​por estes. 
-Possui uma penalidade cumulativa de -1 ao ser utilizada em alguém que já consumiu anteriormente  essa poção no mesmo dia.</t>
  </si>
  <si>
    <t>3 Turnos</t>
  </si>
  <si>
    <t>Restaura 1d6 + 3 PV.</t>
  </si>
  <si>
    <t>4 Turnos</t>
  </si>
  <si>
    <t>5 Turnos</t>
  </si>
  <si>
    <t>Restaura 1d6 + 9 PV.</t>
  </si>
  <si>
    <t>6 Turnos</t>
  </si>
  <si>
    <t>Poção de Mana</t>
  </si>
  <si>
    <t>Restaura 1d6 de Mana.</t>
  </si>
  <si>
    <t xml:space="preserve">
- Um líquido translúcido de coloração azul profunda com reflexos violetas que se intensificam quando o frasco é movimentado.
- Filetes luminosos percorrem o interior como correntes lentas, desaparecendo e reaparecendo em padrões difíceis de prever, sugerindo energia em estado puro.
- Sua fluidez é leve, quase etérea, deixando um rastro luminoso momentâneo no vidro antes de desaparecer.
- O aroma é fresco e sutilmente metálico, com notas que lembram ar após uma tempestade e pergaminhos antigos recém-abertos.
- Ao ser ingerida, a sensação não é física como calor ou frio, mas mental: uma clareza súbita, como pensamentos voltando ao lugar, seguida por uma pressão suave que se dissolve em foco, presença e energia arcana renovada.</t>
  </si>
  <si>
    <t xml:space="preserve">
-Possui uma penalidade cumulativa de -1 ao ser utilizada em alguém que já consumiu anteriormente  essa poção no mesmo dia.</t>
  </si>
  <si>
    <t>Restaura 1d6 + 6 de Mana.</t>
  </si>
  <si>
    <t>Restaura 1d6 + 12 de Mana.</t>
  </si>
  <si>
    <t>Restaura 1d6 + 18de Mana.</t>
  </si>
  <si>
    <t>Restaura 1d6 + 24 de Mana.</t>
  </si>
  <si>
    <t>Poção de Mana Contínua</t>
  </si>
  <si>
    <t xml:space="preserve">
- Um líquido de tonalidade azul-violeta suave, atravessado por filamentos luminosos que se movem lentamente como correntes em água profunda.
- Diferente da Poção de Mana comum, sua luz não pulsa de forma intensa, mas permanece constante — um brilho estável que sugere fluxo contínuo de energia.
- Quando agitada, os filamentos se alongam e voltam a se recompor gradualmente, como se nunca se dissipassem por completo.
- O aroma é leve e etéreo, com notas frescas que lembram ar frio, cristal e tinta arcana recém-preparada. Ao ser ingerida, a sensação não vem como um pico de energia, mas como um abastecimento progressivo: pensamentos se organizam, a concentração se sustenta e a energia mágica retorna em ondas suaves e regulares, como uma fonte que não se esgota de imediato.</t>
  </si>
  <si>
    <t>Restaura 1d6 + 3 de Mana.</t>
  </si>
  <si>
    <t>Restaura 1d6 + 9 de Mana.</t>
  </si>
  <si>
    <t>Poção de Restauração</t>
  </si>
  <si>
    <t>Restaura 1d6 PV e Mana.</t>
  </si>
  <si>
    <t xml:space="preserve">
- Um líquido translúcido em tonalidade violeta profunda, com nuances que variam entre púrpura e lavanda conforme a luz atravessa o frasco.
- o interior, delicados reflexos prateados se entrelaçam lentamente, como dois fluxos distintos coexistindo — um mais quente, outro mais etéreo — sugerindo a união entre vitalidade física e energia arcana.
- Sua viscosidade é suave e equilibrada, nem tão leve quanto água, nem densa como xarope, escorrendo pelo vidro em trilhas elegantes que desaparecem rapidamente.
- O aroma é harmonioso e complexo: ervas restauradoras, flores noturnas e um leve toque mineral luminoso.
- Ao ser ingerida, duas sensações emergem quase ao mesmo tempo — um calor que percorre o corpo, restaurando tecidos e reduzindo a dor, e uma clareza mental que reorganiza pensamentos e estabiliza a energia interna.
- A recuperação acontece como um alinhamento súbito, como se corpo e mente fossem reajustados ao mesmo ritmo.</t>
  </si>
  <si>
    <t xml:space="preserve">
- Não cura doenças nem neutraliza venenos, mas pode curar danos causados ​​por estes. 
-Possui uma penalidade cumulativa de -1 ao ser utilizada em alguém que já consumiu anteriormente essa poção no mesmo dia.</t>
  </si>
  <si>
    <t>Restaura 1d6 + 6 PV e Mana.</t>
  </si>
  <si>
    <t>Restaura 1d6 +12 PV e Mana.</t>
  </si>
  <si>
    <t>Restaura 1d6 +18 PV e Mana.</t>
  </si>
  <si>
    <t>Restaura 1d6 + 24 PV e Mana.</t>
  </si>
  <si>
    <t>Poção de Velocidade</t>
  </si>
  <si>
    <t xml:space="preserve">
Aumenta em +1 Esquiva, Velocidade e Deslocamento.</t>
  </si>
  <si>
    <t xml:space="preserve">
- Um líquido translúcido de tonalidade verde vibrante, com reflexos mais claros que percorrem o frasco em movimentos rápidos, como correntes aceleradas presas em vidro.
- Quando agitada, forma espirais ágeis que desaparecem quase instantaneamente, sugerindo energia em constante movimento.
- Sua fluidez é leve e dinâmica, escorrendo rapidamente pelas paredes do recipiente sem deixar marcas duradouras.
- O aroma é fresco e estimulante — notas de ervas cortantes, folhas esmagadas e um leve toque cítrico que desperta os sentidos.
- Ao ser ingerida, a sensação é imediata: o corpo parece mais leve, a respiração acelera sem esforço e o tempo parece desacelerar ao redor. Reflexos se aguçam, músculos respondem antes mesmo do pensamento terminar e cada movimento carrega uma precisão veloz, como se o mundo tivesse se tornado ligeiramente mais lento.</t>
  </si>
  <si>
    <t xml:space="preserve">
Aumenta em +2 Esquiva, Velocidade e Deslocamento.</t>
  </si>
  <si>
    <t>Poção de Celeridade</t>
  </si>
  <si>
    <t xml:space="preserve">
Permite ao usuário realizar 1 Ação Adicional.</t>
  </si>
  <si>
    <t xml:space="preserve">
- Um líquido de tonalidade verde-clara com reflexos dourados extremamente rápidos, que surgem e desaparecem como faíscas presas dentro do frasco.
- Diferente da Poção de Velocidade, seus movimentos internos não são fluidos, mas abruptos — pequenos saltos, duplicações visuais e distorções breves, como se o conteúdo existisse em mais de um instante ao mesmo tempo.
- Sua consistência é leve, porém instável, criando a impressão de que o líquido reage antes mesmo de ser agitado.
- O aroma é fresco e elétrico, com notas herbais intensas e um toque seco que lembra ozônio após um relâmpago.
- Ao ser ingerida, a percepção do tempo sofre um breve deslocamento: pensamentos se antecipam, movimentos parecem acontecer antes da decisão consciente e o corpo encontra espaço para agir entre os instantes. Não é apenas velocidade — é a sensação de ter um momento extra.</t>
  </si>
  <si>
    <t xml:space="preserve">
- A ação adicional pode ser usada para qualquer ação válida (ataque, movimento, manobra simples, etc.), a critério do Mestre.
- Alternativamente, pode ser usada para realizar uma defesa adicional no turno — nesse caso, a defesa consome a ação extra.
- A ação extra não permite conjurar magias que normalmente exigem múltiplos turnos em um único turno (salvo decisão do Mestre).</t>
  </si>
  <si>
    <t xml:space="preserve">
Permite ao usuário realizar 2 Ações Adicionais.</t>
  </si>
  <si>
    <t>Poção da Mira Perfeita</t>
  </si>
  <si>
    <t>O usuário ganha +2 de bônus ao realizar a manobra Mirar.</t>
  </si>
  <si>
    <t xml:space="preserve">
- Um líquido translúcido de tonalidade âmbar-clara com reflexos dourados extremamente finos que se alinham em linhas retas quando o frasco é mantido imóvel, como se buscassem um ponto exato no espaço.
- Ao ser movimentada, essas linhas se reorganizam rapidamente, formando padrões precisos que lembram trajetórias calculadas. Sua fluidez é leve e controlada, escorrendo pelo vidro em trilhas uniformes e simétricas.
- O aroma é seco e focado — madeira polida, couro tratado e um leve toque metálico que remete a mecanismos bem ajustados.
- Ao ser ingerida, a percepção visual parece estabilizar: respiração desacelera, mãos se tornam firmes e a distância entre o usuário e o alvo parece mais clara, quase mensurável. Pequenos ajustes acontecem naturalmente, como se o corpo antecipasse o movimento ideal antes da execução.</t>
  </si>
  <si>
    <t>O usuário ganha +4 de bônus ao realizar a manobra Mirar.</t>
  </si>
  <si>
    <t>consumable_method</t>
  </si>
  <si>
    <t>poison-000</t>
  </si>
  <si>
    <t>Antídoto</t>
  </si>
  <si>
    <t>Veneno</t>
  </si>
  <si>
    <t>1d6 Turnos</t>
  </si>
  <si>
    <t xml:space="preserve">
- Um pó refinado de coloração dourado-clara, com brilho suave que se intensifica quando misturado a líquidos.
- Em estado seco, seus grãos são leves e uniformes, lembrando poeira mineral pura; quando diluído, dissolve-se com facilidade, tingindo a mistura com um tom quente e translúcido, como mel muito claro em água.
- A preparação líquida permanece estável, sem formar resíduos, e parece levemente luminosa quando observada contra a luz.
- O aroma é limpo e equilibrado — ervas amargas suavizadas por notas florais e um fundo mineral fresco.
- Seja inalado em pó ou ingerido diluído, transmite a sensação de algo que harmoniza o corpo: primeiro um frescor discreto, depois um calor suave que se espalha lentamente, como se o organismo estivesse sendo alinhado e purificado de influências estranhas.</t>
  </si>
  <si>
    <t xml:space="preserve">
- Ao usar em um veneno de nível diretamente superior, o alvo pode realizar novo teste de HT -2 para resistir a qualquer veneno ativo no organismo.
- Em caso de sucesso, neutraliza completamente o veneno.
- Em caso de falha, reduz a duração restante pela metade.
- Em caso de falha crítica, em efeito (o veneno é forte demais naquele momento).</t>
  </si>
  <si>
    <t>Aspirado, Ingestão</t>
  </si>
  <si>
    <t>1d6 + 6 Turnos</t>
  </si>
  <si>
    <t>1d6 + 12 Turnos</t>
  </si>
  <si>
    <t>1d6 + 18 Turnos</t>
  </si>
  <si>
    <t>1d6 + 24 Turnos</t>
  </si>
  <si>
    <t>Curare</t>
  </si>
  <si>
    <t>Debilitante</t>
  </si>
  <si>
    <t>Paralisa o alvo.</t>
  </si>
  <si>
    <t xml:space="preserve">
- Um veneno de coloração vermelho-escura intensa, quase negra nas áreas mais densas, com brilho úmido que denuncia sua potência. Em sua forma destilada apresenta aspecto resinoso e espesso, aderindo às superfícies como se fosse uma seiva antiga concentrada.
- Quando diluído, torna-se plenamente solúvel, espalhando-se com facilidade em líquidos, ferimentos ou preparações alquímicas.
- Seu odor é amargo e terroso, com notas profundas de casca macerada e raízes trituradas.
- Ao entrar na corrente do corpo, não provoca dor imediata — apenas uma sensação sutil de peso nos membros, como fadiga súbita. Em poucos instantes, esse peso se transforma em rigidez progressiva: dedos hesitam, músculos respondem com atraso e, por fim, o corpo torna-se prisioneiro de uma quietude imposta, enquanto a mente permanece desperta.</t>
  </si>
  <si>
    <t xml:space="preserve">
- O alvo deve realizar um teste de HT - 2.
- Em caso de falha, sofre paralisia parcial: -4 de DX, não pode realizar ações que exijam coordenação fina e sua movimentação é reduzida pela metade.
- Em caso de falha 3+, sofre a condição de paralisia total, incapaz de agir voluntariamente, mantendo consciência.
- Em caso de falha crítica, além da paralisa total, deve ser realizado um novo teste de HT, sem redutor, que em caso de falha leva a dificuldade respiratória causando 1 de dano por turno.
- Em caso de sucesso, sente apenas dormência: -1 de DX.</t>
  </si>
  <si>
    <t>Ingestão, Injetável</t>
  </si>
  <si>
    <t xml:space="preserve">
- O alvo deve realizar um teste de HT - 3.
- Em caso de falha, sofre paralisia parcial: -4 de DX, não pode realizar ações que exijam coordenação fina e sua movimentação é reduzida pela metade.
- Em caso de falha 2+, sofre a condição de paralisia total, incapaz de agir voluntariamente, mantendo consciência.
- Em caso de falha crítica, além da paralisa total, deve ser realizado um novo teste de HT, sem redutor, que em caso de falha leva a dificuldade respiratória causando 1 de dano por turno.
- Em caso de sucesso, sente apenas dormência: -1 de DX.</t>
  </si>
  <si>
    <t xml:space="preserve">
- O alvo deve realizar um teste de HT - 4.
- Em caso de falha, sofre paralisia parcial: -4 de DX, não pode realizar ações que exijam coordenação fina e sua movimentação é reduzida pela metade.
- Em caso de falha 1+, sofre a condição de paralisia total, incapaz de agir voluntariamente, mantendo consciência.
- Em caso de falha crítica, além da paralisa total, deve ser realizado um novo teste de HT, sem redutor, que em caso de falha leva a dificuldade respiratória causando 1 de dano por turno.
- Em caso de sucesso, sente apenas dormência: -1 de DX.</t>
  </si>
  <si>
    <t xml:space="preserve">
- O alvo deve realizar um teste de HT - 5.
- Em caso de falha, sofre a condição de paralisia total, incapaz de agir voluntariamente, mantendo consciência.
- Em caso de falha crítica, além da paralisa total, deve ser realizado um novo teste de HT, sem redutor, que em caso de falha leva a dificuldade respiratória causando 1 de dano por turno.
- Em caso de sucesso, sente apenas dormência: -1 de DX.</t>
  </si>
  <si>
    <t xml:space="preserve">
- O alvo deve realizar um teste de HT - 6
- Em caso de falha, sofre a condição de paralisia total, incapaz de agir voluntariamente, mantendo consciência.
- Em caso de falha crítica, além da paralisa total, deve ser realizado um novo teste de HT, sem redutor, que em caso de falha leva a dificuldade respiratória causando 1 de dano por turno.
- Em caso de sucesso, sente apenas dormência: -1 de DX.</t>
  </si>
  <si>
    <t>Areia de Morpheus</t>
  </si>
  <si>
    <t>2 Horas</t>
  </si>
  <si>
    <t>Adormece o alvo.</t>
  </si>
  <si>
    <t xml:space="preserve">
- Um pó finíssimo de coloração marfim pálido, quase perolado, que cintíla suavemente quando exposto à luz - como grãos de areia sob o luar.
- Ao ser manuseado, escorre pelos dedos com leveza sedosa, formando pequenos redemoinhos no ar antes de se dispersar.
- Exala um aroma sutil e adocicado, lembrando flores noturnas e pergaminhos antingos.</t>
  </si>
  <si>
    <t xml:space="preserve">
- A vítimia precisa fazer dois testes de HT, com redutor de -6  e -4, respectivamente, para resistir aos efeitos do veneno.
- Se falhar no primeiro teste o alvo cairá no sono, se passar no primeiro sofrerá penalidade de -5 em qualquer teste de percepção e feitiços sensoriais, se passar em ambos evitará ambos os efeitos.</t>
  </si>
  <si>
    <t>Aspirado, Injetável</t>
  </si>
  <si>
    <t>4 Horas</t>
  </si>
  <si>
    <t>6 Horas</t>
  </si>
  <si>
    <t>8 Horas</t>
  </si>
  <si>
    <t>1 Dia</t>
  </si>
  <si>
    <t>Visgo Urticante</t>
  </si>
  <si>
    <t>1d6 minutos</t>
  </si>
  <si>
    <t>Causa irritação, coceira e reflexos involuntários.</t>
  </si>
  <si>
    <t xml:space="preserve">
- Uma substância viscosa e translúcida, de tonalidade esverdeada leitosa, que estica em fios finos quando manipulada, como se relutasse em se soltar do recipiente.
- Sua superfície possui brilho úmido e irregular, lembrando seiva fresca extraída de uma planta viva.
- O odor é vegetal e acre, com notas que recordam folhas esmagadas e casca amarga.
- Ao toque, o visgo parece inofensivo por um breve instante, frio e pegajoso, mas rapidamente desperta uma sensação de formigamento que evolui para ardor intenso e coceira persistente.
- Quando aplicado em armas, espalha-se facilemente pelo ferimento ou pela pele exposta, provocando irritação difusa e difícil de ignorar.</t>
  </si>
  <si>
    <t xml:space="preserve">
- O antídoto para esse veneno é lavagem da área afetada.
- Alvo afetados devem realizar um teste de HT - 2. Em caso de falha, sofre -2 em DX e em perícias que exijam concentração ou precisão manual devido a irritação. Em caso de falha crítica impõe também um redutor de -1 em IQ para tarefas que exijam foco, pela distração constante.</t>
  </si>
  <si>
    <t>Contato</t>
  </si>
  <si>
    <t>1d6 + 6 minutos</t>
  </si>
  <si>
    <t xml:space="preserve">
- O antídoto para esse veneno é lavagem da área afetada.
- Alvo afetados devem realizar um teste de HT - 3. Em caso de falha, sofre -2 em DX e em perícias que exijam concentração ou precisão manual devido a irritação. Em caso de falha crítica impõe também um redutor de -1 em IQ para tarefas que exijam foco, pela distração constante.</t>
  </si>
  <si>
    <t>1d6 + 12 minutos</t>
  </si>
  <si>
    <t xml:space="preserve">
- O antídoto para esse veneno é lavagem da área afetada.
- Alvo afetados devem realizar um teste de HT - 4. Em caso de falha, sofre -2 em DX e em perícias que exijam concentração ou precisão manual devido a irritação. Em caso de falha crítica impõe também um redutor de -1 em IQ para tarefas que exijam foco, pela distração constante.</t>
  </si>
  <si>
    <t>1d6 + 18 minutos</t>
  </si>
  <si>
    <t xml:space="preserve">
- O antídoto para esse veneno é lavagem da área afetada.
- Alvo afetados devem realizar um teste de HT - 5. Em caso de falha, sofre -2 em DX e em perícias que exijam concentração ou precisão manual devido a irritação. Em caso de falha crítica impõe também um redutor de -1 em IQ para tarefas que exijam foco, pela distração constante.</t>
  </si>
  <si>
    <t>1d6 + 24 minutos</t>
  </si>
  <si>
    <t xml:space="preserve">
- O antídoto para esse veneno é lavagem da área afetada.
- Alvo afetados devem realizar um teste de HT - 6. Em caso de falha, sofre -2 em DX e em perícias que exijam concentração ou precisão manual devido a irritação. Em caso de falha crítica impõe também um redutor de -1 em IQ para tarefas que exijam foco, pela distração constante.</t>
  </si>
  <si>
    <t>Véu da Noite</t>
  </si>
  <si>
    <t>Cega, temporariamente, o alvo.</t>
  </si>
  <si>
    <t xml:space="preserve">
- Um pó finíssimo de coloração cinza-pálida com reflexos opalescentes, quase imperceptíveis, que lembram poeria de vidro moído.
- Quando agitado, forma uma névoa leve e difusa que parece apagar os contornos ao redor, como se a própria luz hesitasse em atravessá-la.
- Possui um aroma seco e mineral, com um leve traço amargo que permanece no fundo das narinas.
- Ao ser ingerido ou inalado, não provoca dor imediata, apenas uma sensação estranha de pressão atrás dos olhos, seguida por lacrimejamento e uma turvação crescente da visão. Em poucos instantes, cores desbotam, formas se dissolvem e o mundo é engolido por uma escuridão leitosa e temporária.</t>
  </si>
  <si>
    <t xml:space="preserve">
- O alvo deve realizar um teste de HT -2.
- Em caso de falha, sofre a condição de Cegueira.
- Em caso de sucesso sofre -6 em testes de visão.
- Em caso de falha crítica, estende a duração em 1d6 minutos.</t>
  </si>
  <si>
    <t>Aspirado, Ingestão, Injetável</t>
  </si>
  <si>
    <t xml:space="preserve">
- O alvo deve realizar um teste de HT -3.
- Em caso de falha, sofre a condição de Cegueira.
- Em caso de sucesso sofre -7 em testes de visão.
- Em caso de falha crítica, estende a duração em 1d6 + 6 minutos.</t>
  </si>
  <si>
    <t xml:space="preserve">
- O alvo deve realizar um teste de HT -4.
- Em caso de falha, sofre a condição de Cegueira.
- Em caso de sucesso sofre -8 em testes de visão.
- Em caso de falha crítica, estende a duração em 1d6 + 12 minutos.</t>
  </si>
  <si>
    <t xml:space="preserve">
- O alvo deve realizar um teste de HT -5.
- Em caso de falha, sofre a condição de Cegueira.
- Em caso de sucesso sofre -9 em testes de visão.
- Em caso de falha crítica, estende a duração em 1d6 + 18 minutos.</t>
  </si>
  <si>
    <t xml:space="preserve">
- O alvo deve realizar um teste de HT -6.
- Em caso de falha, sofre a condição de Cegueira.
- Em caso de sucesso sofre -10 em testes de visão.
- Em caso de falha crítica, estende a duração em 1d6 + 24 minutos.</t>
  </si>
  <si>
    <t>Hera Venenosa</t>
  </si>
  <si>
    <t>Ofensivo</t>
  </si>
  <si>
    <t>Variável</t>
  </si>
  <si>
    <t>Adiciona +1 de dano, pós RD.</t>
  </si>
  <si>
    <t xml:space="preserve">
- Uma pasta espessa de coloração verde-escura quase negra, com veios mais claros que lembram as nervuras de uma folha sob a luz do Sol.
- Seu brilho é oleoso, viscoso, aderindo facilemte a lâminas, pontas de felchas e virotes, onde permane como um verniz traiçoeiro.
- Quando recém-aplicada, exala um aroma vegetal intenso - fresco à primeira impressão, mas com um fundo amargo e irritante que arde levemente as narinas.
- Uma vez nos feriemntos, infiltra-se nos tecidos como se criasse raízes invisíveis, inflamando a carne ao redor da lesão e ampliando a dor de cada golpe que a carrega.</t>
  </si>
  <si>
    <t xml:space="preserve">
- Em golpes de balanço (Contusão e Corte) a duração é de 3 Golpes.
- Em golpes de perfuração e armas de longa distância, é de uso único, entretanto o dano do veneno é x2.</t>
  </si>
  <si>
    <t>Adiciona +2 de dano, pós RD.</t>
  </si>
  <si>
    <t xml:space="preserve">
- Uma pasta espessa de coloração verde-escura quase negra, com veios mais claros que lembram as nervuras de uma folha sob a luz do Sol.
- Seu brilho é oleoso, viscoso, aderindo facilemte a lâminas, pontas de felchas e virotes, onde permane como um verniz traiçoeiro.</t>
  </si>
  <si>
    <t xml:space="preserve">
- Em armas corpo-a-corpo a duração é de 4 Golpes.
- Em armas de longa distância, é de uso único, entretanto o dano do veneno é x2.</t>
  </si>
  <si>
    <t>Adiciona +3 de dano, pós RD.</t>
  </si>
  <si>
    <t xml:space="preserve">
- Em armas corpo-a-corpo a duração é de 5 Golpes.
- Em armas de longa distância, é de uso único, entretanto o dano do veneno é x2.</t>
  </si>
  <si>
    <t>Adiciona +4 de dano, pós RD.</t>
  </si>
  <si>
    <t xml:space="preserve">
- Em armas corpo-a-corpo a duração é de 6 Golpes.
- Em armas de longa distância, é de uso único, entretanto o dano do veneno é x2.</t>
  </si>
  <si>
    <t>Adiciona +5 de dano, pós RD.</t>
  </si>
  <si>
    <t xml:space="preserve">
- Em armas corpo-a-corpo a duração é de 7 Golpes.
- Em armas de longa distância, é de uso único, entretanto o dano do veneno é x3.</t>
  </si>
  <si>
    <t>elixir-000</t>
  </si>
  <si>
    <t>Elixir do Touro</t>
  </si>
  <si>
    <t>Elixir</t>
  </si>
  <si>
    <t>Manipulação de Atributos</t>
  </si>
  <si>
    <t>Aumenta a ST do usuário, temporariamente, em +1.</t>
  </si>
  <si>
    <t xml:space="preserve">
- Um líquido denso de tonalidade âmbar profunda com reflexos acobreados que lembram couro aquecido e madeira antiga.
- Quando o frasco é movimentado, o conteúdo se desloca com peso evidente, formando ondas lentas e espessas que demoram a se dissipar. Pequenas partículas mais escuras permanecem suspensas, como sedimentos ricos em potência física
- O aroma é forte e terroso — couro, raízes esmagadas e um leve traço metálico que sugere vigor bruto. Ao ser ingerido, a sensação é imediata e intensa: o corpo parece ganhar massa e presença, músculos se tensionam com facilidade e a respiração se torna profunda e pesada.
- Cada movimento carrega potência adicional, como se a força do usuário fosse ampliada além de seus limites naturais.
- Quando o efeito se dissipa, essa potência recua abruptamente, deixando uma sensação clara de esforço acumulado e peso residual nos membros.</t>
  </si>
  <si>
    <t xml:space="preserve">
- O bônus afeta testes de ST, e todos os atributos basedos nesta.
- Ao término do efeito, o usuário sofre redução temporária de ST igual a 1 por 18 Horas.</t>
  </si>
  <si>
    <t>9 Horas</t>
  </si>
  <si>
    <t xml:space="preserve">
- O bônus afeta testes de ST, e todos os atributos basedos nesta.
- Ao término do efeito, o usuário sofre redução temporária de ST igual a 1 por 12 Horas.</t>
  </si>
  <si>
    <t>12 Horas</t>
  </si>
  <si>
    <t xml:space="preserve">
- O bônus afeta testes de ST, e todos os atributos basedos nesta.
- Ao término do efeito, o usuário sofre redução temporária de ST igual a 1 por 8 Horas.</t>
  </si>
  <si>
    <t>18 Horas</t>
  </si>
  <si>
    <t xml:space="preserve">
- O bônus afeta testes de ST, e todos os atributos basedos nesta.- Ao término do efeito, o usuário sofre redução temporária de ST igual a 1 por 4 Horas.</t>
  </si>
  <si>
    <t>24 Horas</t>
  </si>
  <si>
    <t>Aumenta a ST do usuário, temporariamente, em +2.</t>
  </si>
  <si>
    <t xml:space="preserve">
- O bônus afeta testes de ST, e todos os atributos basedos nesta.</t>
  </si>
  <si>
    <t>Elixir da Coruja</t>
  </si>
  <si>
    <t>Aumenta a IQ do usuário, temporariamente, em +1.</t>
  </si>
  <si>
    <t xml:space="preserve">
- Um líquido translúcido de tonalidade azul-violeta suave, com reflexos prateados que se reorganizam lentamente como padrões de tinta em água.
- Quando o frasco é agitado, o conteúdo forma espirais elegantes e simétricas que demoram a desaparecer, sugerindo ordem, paciência e percepção silenciosa. Sua consistência é leve, porém estável, escorrendo pelo vidro em trilhas finas e precisas.
- O aroma é discreto e contemplativo — pergaminho antigo, ervas secas e um leve traço mineral frio que lembra ar noturno.
- Ao ser ingerido, a sensação não é física, mas cognitiva: pensamentos desaceleram para se tornarem mais claros, detalhes antes ignorados emergem e conexões surgem com naturalidade. A mente parece observar antes de reagir, como se ganhasse distância e profundidade ao mesmo tempo.
- Quando o efeito termina, essa clareza se dissipa gradualmente, deixando uma leve fadiga mental.</t>
  </si>
  <si>
    <t xml:space="preserve">
- O bônus afeta testes de IQ, e todos os atributos basedos nesta.
- Ao término do efeito, o usuário sofre redução temporária de IQ igual a 1 por 18 Horas.</t>
  </si>
  <si>
    <t xml:space="preserve">
- O bônus afeta testes de IQ, e todos os atributos basedos nesta.
- Ao término do efeito, o usuário sofre redução temporária de IQ igual a 1 por 12 Horas.</t>
  </si>
  <si>
    <t xml:space="preserve">
- O bônus afeta testes de IQ, e todos os atributos basedos nesta.
- Ao término do efeito, o usuário sofre redução temporária de IQ igual a 1 por 8 Horas.</t>
  </si>
  <si>
    <t xml:space="preserve">
- O bônus afeta testes de IQ, e todos os atributos basedos nesta.
- Ao término do efeito, o usuário sofre redução temporária de IQ igual a 1 por 4 Horas.</t>
  </si>
  <si>
    <t>Aumenta a IQ do usuário, temporariamente, em +2.</t>
  </si>
  <si>
    <t xml:space="preserve">
- O bônus afeta testes de IQ, e todos os atributos basedos nesta.</t>
  </si>
  <si>
    <t>Elixir da Raposa</t>
  </si>
  <si>
    <t>Aumenta a DX do usuário, temporariamente, em +1.</t>
  </si>
  <si>
    <t xml:space="preserve">
- Um líquido translúcido de tonalidade âmbar-alaranjada com reflexos dourados rápidos que parecem escapar ao olhar direto.
- Quando o frasco é movimentado, o conteúdo forma redemoinhos ágeis e elegantes, criando padrões que surgem e desaparecem com precisão quase calculada. Sua fluidez é leve e extremamente responsiva, escorrendo pelo vidro em trilhas finas que se dividem e se recombinam como movimentos bem executados.
- O aroma é vivo e sutil — ervas leves, casca cítrica e um toque seco que remete a folhas em movimento.
- Ao ser ingerido, a sensação é imediata: o corpo parece ajustar tensões invisíveis, articulações respondem com suavidade e movimentos se tornam naturais, precisos e silenciosos.
- Gestos pequenos ganham refinamento, reflexos se antecipam e o usuário percebe uma confiança física elegante.
- Quando o efeito se dissipa, essa precisão cede lugar a uma leve sensação de descompasso motor.</t>
  </si>
  <si>
    <t xml:space="preserve">
- O bônus afeta testes de DX, e todos os atributos basedos nesta.
- Ao término do efeito, o usuário sofre redução temporária de DX igual a 1 por 18 Horas.</t>
  </si>
  <si>
    <t xml:space="preserve">
- O bônus afeta testes de DX, e todos os atributos basedos nesta.
- Ao término do efeito, o usuário sofre redução temporária de DX igual a 1 por 12 Horas.</t>
  </si>
  <si>
    <t xml:space="preserve">
- O bônus afeta testes de IQ, e todos os atributos basedos nesta.
- Ao término do efeito, o usuário sofre redução temporária de DX igual a 1 por 8 Horas.</t>
  </si>
  <si>
    <t xml:space="preserve">
- O bônus afeta testes de DX, e todos os atributos basedos nesta.
- Ao término do efeito, o usuário sofre redução temporária de DX igual a 1 por 4 Horas.</t>
  </si>
  <si>
    <t>Aumenta a DX do usuário, temporariamente, em +2.</t>
  </si>
  <si>
    <t xml:space="preserve">
- O bônus afeta testes de DX, e todos os atributos basedos nesta.</t>
  </si>
  <si>
    <t>Elixir do Urso</t>
  </si>
  <si>
    <t>Aumenta a HT do usuário, temporariamente, em +1.</t>
  </si>
  <si>
    <t xml:space="preserve">
- Um líquido encorpado de tonalidade castanho-escura com reflexos dourados profundos, lembrando mel antigo misturado a madeira úmida.
- Quando o frasco é movimentado, o conteúdo forma ondas pesadas e estáveis, transmitindo a impressão de densidade e resistência. Pequenas partículas opacas permanecem suspensas, como sedimentos que reforçam a sensação de robustez e solidez.
- O aroma é quente e reconfortante — raízes, resina e um leve traço adocicado que remete a mel silvestre.
- Ao ser ingerido, a sensação surge como um peso agradável no corpo: a respiração se torna profunda, o pulso desacelera e a presença física parece mais firme. Fadiga e desconforto tornam-se mais fáceis de suportar, como se o corpo ganhasse reserva extra para resistir.
- Quando o efeito termina, essa estabilidade recua, deixando uma sensação clara de cansaço latente.</t>
  </si>
  <si>
    <t xml:space="preserve">
- O bônus afeta testes de HT, e todos os atributos basedos nesta.
- Ao término do efeito, o usuário sofre redução temporária de HT igual a 1 por 18 Horas.</t>
  </si>
  <si>
    <t xml:space="preserve">
- O bônus afeta testes de HT, e todos os atributos basedos nesta.
- Ao término do efeito, o usuário sofre redução temporária de HT igual a 1 por 12 Horas.</t>
  </si>
  <si>
    <t xml:space="preserve">
- O bônus afeta testes de HT, e todos os atributos basedos nesta.
- Ao término do efeito, o usuário sofre redução temporária de HT igual a 1 por 8 Horas.</t>
  </si>
  <si>
    <t xml:space="preserve">
- O bônus afeta testes de HT, e todos os atributos basedos nesta.
- Ao término do efeito, o usuário sofre redução temporária de HT igual a 1 por 4 Horas.</t>
  </si>
  <si>
    <t>Aumenta a HT do usuário, temporariamente, em +2.</t>
  </si>
  <si>
    <t xml:space="preserve">
- O bônus afeta testes de HT, e todos os atributos basedos nesta.</t>
  </si>
  <si>
    <t>Elixir do Dragão</t>
  </si>
  <si>
    <t>Aumenta todos os atributos primários do usuário, temporariamente, em +1.</t>
  </si>
  <si>
    <t xml:space="preserve">
- Um líquido de tonalidade rubi-violeta profunda atravessado por reflexos dourados e escarlates que se movem como chamas lentas dentro do frasco.
- Diferente de outros elixires, sua aparência parece instável — cores se sobrepõem, brilhos surgem em camadas e breves pulsações percorrem o conteúdo como batidas de um coração antigo. Quando agitado, forma espirais densas que lembram fumaça líquida, sugerindo poder concentrado além de qualquer preparo comum.
- O aroma é intenso e complexo — resina aquecida, especiarias raras, metal quente e um fundo mineral antigo.
- Ao ser ingerido, a sensação é imediata e avassaladora: o corpo se fortalece, a mente se expande, movimentos se tornam precisos e a resistência parece inabalável. Há uma clara percepção de estar além dos próprios limites, como se múltiplas capacidades fossem elevadas simultaneamente.
- Quando o efeito termina, essa ascensão recua de forma perceptível, deixando um vazio momentâneo e fadiga generalizada.</t>
  </si>
  <si>
    <t xml:space="preserve">
- O bônus afeta todo e qualquer teste.
- Ao término do efeito, o usuário sofre redução temporária de todos os atributos primários, igual a 1 por 18 Horas.</t>
  </si>
  <si>
    <t xml:space="preserve">
- O bônus afeta todo e qualquer teste.
- Ao término do efeito, o usuário sofre redução temporária de todos os atributos primários, igual a 1 por 12 Horas.</t>
  </si>
  <si>
    <t xml:space="preserve">
- O bônus afeta todo e qualquer teste.
- Ao término do efeito, o usuário sofre redução temporária de todos os atributos primários, igual a 1 por 8 Horas.</t>
  </si>
  <si>
    <t xml:space="preserve">
- O bônus afeta todo e qualquer teste.
- Ao término do efeito, o usuário sofre redução temporária de todos os atributos primários, igual a 1 por 4 Horas.</t>
  </si>
  <si>
    <t>Aumenta todos os atributos primários do usuário, temporariamente, em +2.</t>
  </si>
  <si>
    <t xml:space="preserve">
- O bônus afeta todo e qualquer teste.</t>
  </si>
  <si>
    <t>Elixir do Gato</t>
  </si>
  <si>
    <t>Garente ao usuário visão noturna temporariamente.</t>
  </si>
  <si>
    <t xml:space="preserve">
- Um líquido translúcido de tonalidade verde-amarelada suave, com reflexos felinos que surgem como filetes luminosos verticais quando o frasco é inclinado.
- À luz fraca, esses reflexos se intensificam, criando a impressão de olhos observando através do vidro. Sua consistência é leve e silenciosa, formando ondulações finas que desaparecem rapidamente, como movimentos quase imperceptíveis.
- O aroma é discreto e fresco — ervas noturnas, folhas úmidas e um leve traço mineral frio.
- Ao ser ingerido, a mudança é gradual: sombras ganham profundidade, contornos antes perdidos tornam-se distinguíveis e a escuridão deixa de ser um obstáculo para se tornar apenas mais um ambiente. A percepção visual se ajusta com naturalidade, como se os olhos aprendessem novamente a enxergar.
- Quando o efeito termina, a escuridão parece momentaneamente mais densa por contraste.</t>
  </si>
  <si>
    <t>3 Horas</t>
  </si>
  <si>
    <t>5 Horas</t>
  </si>
  <si>
    <t>Garente ao usuário visão de sombras temporariamente.</t>
  </si>
  <si>
    <t>Elixir do Sapo</t>
  </si>
  <si>
    <t>Garante ao usuário a habilidade de respirar debaixo d'água.</t>
  </si>
  <si>
    <t xml:space="preserve">
- Um líquido translúcido de tonalidade verde-pálida com leves reflexos azulados que se movem lentamente, como bolhas presas em água parada.
- Quando o frasco é agitado, pequenas esferas de ar se formam e permanecem suspensas por alguns instantes antes de desaparecer, sugerindo a adaptação entre ar e água. Sua consistência é leve e refrescante, deixando no vidro trilhas fluidas que lembram condensação.
- O aroma é úmido e vegetal — água doce, folhas aquáticas e um leve toque mineral fresco.
- Ao ser ingerido, a sensação começa na garganta com um frescor suave, seguida por uma respiração que parece mais profunda e eficiente. O corpo se ajusta gradualmente: o impulso de prender o ar desaparece, a água deixa de provocar pânico e respirar torna-se possível mesmo submerso, como se o corpo lembrasse um instinto antigo.
- Quando o efeito termina, a necessidade de ar retorna de forma abrupta e evidente.</t>
  </si>
  <si>
    <t>Garante ao usuário a habilidade de respirar debaixo d'água e um bônus de +10 em testes de natação.</t>
  </si>
  <si>
    <t>Elixir do Stalker</t>
  </si>
  <si>
    <t>Garente ao usuário se tornar invisível ao seu bel prazer.</t>
  </si>
  <si>
    <t xml:space="preserve">
- Um líquido quase incolor, com leve tonalidade prateada que só se revela quando a luz o atravessa em determinado ângulo.
- Dentro do frasco, o conteúdo parece distorcer o que está atrás dele, criando pequenas refrações e deslocamentos visuais, como vidro imperfeito ou calor no ar. Quando agitado, não forma redemoinhos visíveis — apenas ondulações sutis que fazem o líquido parecer desaparecer por instantes antes de reaparecer.
- O aroma é extremamente discreto — ar frio, cristal e um leve toque mineral seco.
- Ao ser ingerido, a sensação é estranha e silenciosa: primeiro uma leve ausência de peso perceptivo, depois a impressão de que o próprio corpo deixa de ocupar o mesmo espaço visual. Sons e presença permanecem, mas a imagem desaparece, como se o usuário tivesse sido apagado do olhar do mundo.
- Quando o efeito termina, a visibilidade retorna gradualmente, começando por reflexos e contornos.</t>
  </si>
  <si>
    <t xml:space="preserve">
- O usuário não pode ser visto visualmente, mas ainda pode ser ouvido, rastreado ou percebido por outros sentidos.
- Não oculta automaticamente equipamentos barulhentos, pegadas ou interação com o ambiente.</t>
  </si>
  <si>
    <t>Garente ao usuário se tornar invisível ao seu bel prazer, enquanto invisível não emite sons podendo ser percebido somente pelo feitiço Ver Invisível.</t>
  </si>
  <si>
    <t xml:space="preserve">
- Não oculta automaticamente equipamentos barulhentos, pegadas ou interação com o ambiente.</t>
  </si>
  <si>
    <t>consumable_effect_area</t>
  </si>
  <si>
    <t>bomb-000</t>
  </si>
  <si>
    <t>Granada de Estilhaços</t>
  </si>
  <si>
    <t>Bomba</t>
  </si>
  <si>
    <t>Dano</t>
  </si>
  <si>
    <t>Causa 1d6 + 3 de dano em área.</t>
  </si>
  <si>
    <t xml:space="preserve">
- Um pequeno recipiente esférico de vidro espesso envolto por uma malha metálica segmentada, visivelmente projetada para se fragmentar.
- No interior, um composto turvo de tonalidade cinza-âmbar permanece instável, formando bolhas lentas e breves vibrações quando a granada é movimentada. Finas linhas metálicas percorrem a estrutura externa, sugerindo pontos de ruptura deliberados.
- Ao ser ativada, um breve silvo precede a detonação — um estalo seco seguido por uma explosão violenta que dispersa fragmentos metálicos e de vidro em alta velocidade.
- O impacto não é apenas sonoro, mas físico: o ar se comprime, o chão responde e a área ao redor é varrida por estilhaços que ricocheteiam e se cravam em superfícies próximas.</t>
  </si>
  <si>
    <t>Área de 2 Hex</t>
  </si>
  <si>
    <t>Causa 1d6 + 6 de dano em área.</t>
  </si>
  <si>
    <t>Causa 2d6 + 3 de dano em área.</t>
  </si>
  <si>
    <t>Área de 3 Hex</t>
  </si>
  <si>
    <t>Causa 2d6 + 6 de dano em área.</t>
  </si>
  <si>
    <t>Causa 3d6 + 6 de dano em área.</t>
  </si>
  <si>
    <t>Área de 4 Hex</t>
  </si>
  <si>
    <t>Granada de Chamas</t>
  </si>
  <si>
    <t xml:space="preserve">
- No impacto cria uma área de chamas.
- Causa 1d6 de dano de fogo nos alvos na área impactada.
- Alvos que entrarem na área irão sofrer 1d6 de dano de fogo pelo restante da duração.</t>
  </si>
  <si>
    <t xml:space="preserve">
- Um recipiente de vidro reforçado preenchido por um líquido espesso de tonalidade laranja-avermelhada, atravessado por veios mais escuros que se movem lentamente como brasas submersas.
- Quando agitada, pequenas faíscas luminosas surgem e desaparecem no interior, e o conteúdo parece aquecer levemente o próprio frasco. Um pavio alquímico curto permanece selado no topo, liberando um discreto cheiro de resina queimada.
- Ao se romper, o líquido se espalha rapidamente e reage ao contato com o ar, incendiando-se quase instantaneamente.
- As chamas aderem às superfícies atingidas, espalhando calor intenso e crepitante que transforma o local em uma área perigosa, com labaredas que persistem por alguns instantes antes de se dissiparem.</t>
  </si>
  <si>
    <t xml:space="preserve">
- Os alvos atigindos que não estiverem na área de efeito podemo gastar um turno para extinguir as chamas e encerrar o efeito da bomba.</t>
  </si>
  <si>
    <t xml:space="preserve">
- No impacto cria uma área de chamas.
- Causa 1d6 + 3 de dano de fogo nos alvos na área impactada.
- Alvos que entrarem na área irão sofrer 1d6 de dano de fogo pelo restante da duração.</t>
  </si>
  <si>
    <t xml:space="preserve">
- No impacto cria uma área de chamas.
- Causa 1d6 + 3 de dano de fogo nos alvos na área impactada.
- Alvos que entrarem na área irão sofrer 1d6 + 3 de dano de fogo pelo restante da duração.</t>
  </si>
  <si>
    <t>Granada de Cola</t>
  </si>
  <si>
    <r>
      <rPr>
        <rFont val="Calibri"/>
        <color theme="1"/>
        <sz val="7.0"/>
      </rPr>
      <t>Cria uma área de superfície extremamente pegajosa</t>
    </r>
    <r>
      <rPr>
        <rFont val="Calibri"/>
        <b/>
        <color theme="1"/>
        <sz val="7.0"/>
      </rPr>
      <t>.</t>
    </r>
  </si>
  <si>
    <t xml:space="preserve">
- Um frasco esférico de vidro espesso preenchido por um líquido viscoso de tonalidade negro-esverdeada com reflexos oleosos que se deformam lentamente à luz.
- O conteúdo move-se com extrema lentidão quando agitado, formando camadas espessas que parecem aderir ao próprio vidro. Pequenas bolhas ficam presas no interior, sugerindo uma substância densa e persistentemente pegajosa.
- Ao se romper, a mistura se espalha rapidamente pelo solo, expandindo-se em uma camada brilhante e irregular que gruda em tudo que toca.
- A superfície resultante parece viva — fios finos se esticam e se retraem quando algo tenta se mover, como se o chão tentasse segurar qualquer passo descuidado.</t>
  </si>
  <si>
    <t xml:space="preserve">
- Qualquer criatura que entrar ou iniciar o turno na área deve realizar teste de HT ou DX (definir conforme sua adaptação) para resistir.
- Em caso de falha, sofre efeito equivalente à magia Pés Enraizados.
- Assim que a vítima resistir com sucesso, fica livre para agir dentro daquele hexágono específico.
- Ao pisar em outro hexágono pegajoso — mesmo um do qual já tenha escapado — deve realizar novo teste e pode sofrer Pés Enraizados novamente.</t>
  </si>
  <si>
    <r>
      <rPr>
        <rFont val="Calibri"/>
        <color theme="1"/>
        <sz val="7.0"/>
      </rPr>
      <t>Cria uma área de superfície extremamente pegajosa</t>
    </r>
    <r>
      <rPr>
        <rFont val="Calibri"/>
        <b/>
        <color theme="1"/>
        <sz val="7.0"/>
      </rPr>
      <t>.</t>
    </r>
  </si>
  <si>
    <r>
      <rPr>
        <rFont val="Calibri"/>
        <color theme="1"/>
        <sz val="7.0"/>
      </rPr>
      <t>Cria uma área de superfície extremamente pegajosa</t>
    </r>
    <r>
      <rPr>
        <rFont val="Calibri"/>
        <b/>
        <color theme="1"/>
        <sz val="7.0"/>
      </rPr>
      <t>.</t>
    </r>
  </si>
  <si>
    <r>
      <rPr>
        <rFont val="Calibri"/>
        <color theme="1"/>
        <sz val="7.0"/>
      </rPr>
      <t>Cria uma área de superfície extremamente pegajosa</t>
    </r>
    <r>
      <rPr>
        <rFont val="Calibri"/>
        <b/>
        <color theme="1"/>
        <sz val="7.0"/>
      </rPr>
      <t>.</t>
    </r>
  </si>
  <si>
    <r>
      <rPr>
        <rFont val="Calibri"/>
        <color theme="1"/>
        <sz val="7.0"/>
      </rPr>
      <t>Cria uma área de superfície extremamente pegajosa</t>
    </r>
    <r>
      <rPr>
        <rFont val="Calibri"/>
        <b/>
        <color theme="1"/>
        <sz val="7.0"/>
      </rPr>
      <t>.</t>
    </r>
  </si>
  <si>
    <t>Granada de Graxa</t>
  </si>
  <si>
    <t>Cria uma área extremamente escorregadia.</t>
  </si>
  <si>
    <t xml:space="preserve">
- Um frasco esférico de vidro espesso preenchido por um líquido translúcido de tonalidade amarelada com brilho oleoso intenso.
- Mesmo parado, o conteúdo parece deslizar sobre si mesmo, formando camadas suaves que nunca permanecem estáveis por muito tempo. Quando agitado, o líquido se espalha pelo interior do vidro em um movimento rápido e silencioso, deixando trilhas lisas que desaparecem quase instantaneamente.
- Ao se romper, a substância se espalha em uma camada fina e reluzente que transforma o terreno em uma superfície traiçoeira.
- A luz reflete em padrões irregulares, denunciando o perigo: passos perdem firmeza, apoios falham e movimentos tornam-se incertos, como se o chão tivesse sido polido até a impossibilidade de aderência.</t>
  </si>
  <si>
    <t xml:space="preserve">
- Qualquer criatura que entrar em um hexágono da área deve realizar teste de DX-2; em caso de falha, cai.
- Uma nova rolagem de DX-2 é necessária para se levantar (não é necessária para sentar ou ajoelhar).
- Enquanto estiver na área: –3 em ataques corpo a corpo e defesas ativas; –2 em outras habilidades físicas, incluindo ataques com projéteis e armas de arremesso.
- Pode ser aplicada em superfícies verticais, tornando a escalada impossível enquanto durar o efeito.
- Superfícies com inclinação intermediária ficam a critério do mestre.</t>
  </si>
  <si>
    <t>Bomba de Fumaça</t>
  </si>
  <si>
    <t>Cria uma área de fumaça pesada</t>
  </si>
  <si>
    <t xml:space="preserve">
- Um pequeno cilindro metálico de paredes finas, selado com tampa rosqueada e um anel de ativação discreto.
- Ao ser acionado, emite um estalo seco seguido por um jato denso de fumaça que se expande com surpreendente rapidez. A névoa gerada é espessa, de tonalidade acinzentada ou levemente esbranquiçada, espalhando-se em redemoinhos pesados que abraçam o chão antes de subir lentamente.
- A fumaça tem cheiro levemente acre e textura quase palpável — não queime, mas irrita olhos e garganta se inalada por muito tempo.
- Em poucos segundos, o ambiente se torna um mar turvo de silhuetas imprecisas, onde formas se desfazem a poucos passos de distância. Sons parecem mais próximos do que realmente estão, e a orientação espacial torna-se incerta.</t>
  </si>
  <si>
    <t xml:space="preserve">
- Visão além de 1 Hex sofre -4 de penalidade.
- Visão além de 2 metros é impossível (apenas silhuetas).
- Ataques à distância contra alvos dentro da fumaça sofrem –4 (ou mais, a critério do Mestre).</t>
  </si>
  <si>
    <t>Bomba de Luz</t>
  </si>
  <si>
    <t>Explosão luminosa que cega, temporariamente, aqueles que estejam olhando diretamente ou periféricamente para o centro da detonação.</t>
  </si>
  <si>
    <t xml:space="preserve">
- Um pequeno artefato cilíndrico de metal claro, com ranhuras laterais para melhor empunhadura e um anel de ativação firme.
- Ao ser acionado, emite um silvo curto e quase imperceptível — seguido por um clarão branco-absoluto que rasga o ambiente como um relâmpago contido em espaço fechado.
- A luz não apenas ilumina: ela invade. Por uma fração de segundo, todas as sombras desaparecem. Contornos se dissolvem. A visão se torna puro branco. O mundo é reduzido a um estilhaço luminoso que parece atravessar as pálpebras fechadas.
- Mesmo quem não esteja diretamente na área da explosão pode ser afetado se estiver olhando para o centro do clarão — a intensidade do pulso luminoso se propaga em linha de visão, expandindo seu efeito muito além do ponto físico de detonação.
- Após o estouro, restam manchas coloridas dançando no campo visual, silhuetas invertidas e uma sensação de desorientação abrupta. O silêncio que segue parece pesado demais, como se o mundo tivesse piscado e ainda não tivesse voltado completamente.</t>
  </si>
  <si>
    <t xml:space="preserve">
- Qualquer criatura com linha de visão para o ponto de detonação realiza um teste de HT -2.
- Em caso de falha, cegueira por 2 turnos.
- Em caso de falha crítica, cegueira por 4 Turnos.
- Em caso de sucesso, redutor de -1 em qualquer teste de habilidade para acertar um alvo.
- Em lugares fechados, a área de efeito é multiplicada por 2.</t>
  </si>
  <si>
    <t xml:space="preserve">
- Qualquer criatura com linha de visão para o ponto de detonação realiza um teste de HT -3.
- Em caso de falha, cegueira por 2 turnos.
- Em caso de falha crítica, cegueira por 4 Turnos.
- Em caso de sucesso, redutor de -1 em qualquer teste de habilidade para acertar um alvo.
- Em lugares fechados, a área de efeito é multiplicada por 2.</t>
  </si>
  <si>
    <t xml:space="preserve">
- Qualquer criatura com linha de visão para o ponto de detonação realiza um teste de HT -4.
- Em caso de falha, cegueira por 2 turnos.
- Em caso de falha crítica, cegueira por 4 Turnos.
- Em caso de sucesso, redutor de -1 em qualquer teste de habilidade para acertar um alvo.
- Em lugares fechados, a área de efeito é multiplicada por 2.</t>
  </si>
  <si>
    <t>Área de 5 Hex</t>
  </si>
  <si>
    <t xml:space="preserve">
- Qualquer criatura com linha de visão para o ponto de detonação realiza um teste de HT -5.
- Em caso de falha, cegueira por 2 turnos.
- Em caso de falha crítica, cegueira por 4 Turnos.
- Em caso de sucesso, redutor de -1 em qualquer teste de habilidade para acertar um alvo.
- Em lugares fechados, a área de efeito é multiplicada por 2.</t>
  </si>
  <si>
    <t xml:space="preserve">
- Qualquer criatura com linha de visão para o ponto de detonação realiza um teste de HT -6.
- Em caso de falha, cegueira por 2 turnos.
- Em caso de falha crítica, cegueira por 4 Turnos.
- Em caso de sucesso, redutor de -1 em qualquer teste de habilidade para acertar um alvo.
- Em lugares fechados, a área de efeito é multiplicada por 2.</t>
  </si>
  <si>
    <t>Área de 7 Hex</t>
  </si>
  <si>
    <t>Granada Elétrica</t>
  </si>
  <si>
    <t>Explosão elétrica que paraliza qualquer criatura por 1 Turno.</t>
  </si>
  <si>
    <t xml:space="preserve">
- Um cilindro robusto revestido por placas segmentadas e pequenos condutores metálicos visíveis sob uma malha protetora.
- Ao ser ativada, emite um zumbido crescente, como o carregamento de um capacitor prestes a romper seu limite. No momento da detonação, não há fogo nem estilhaços — apenas um pulso seco seguido por uma explosão de ar azul-esbranquiçado que se ramifica em arcos elétricos curtos e violentos.
- Após a descarga, permanece no ar um cheiro leve de ozônio e o eco do estalo elétrico dissipando-se.
- A descarga não se propaga como um raio contínuo, mas como uma onda súbita de energia estática condensada. O ar crepita. Pelos se eriçam. Músculos contraem involuntariamente. Pequenas faíscas saltam entre armaduras metálicas, armas e superfícies úmidas.
- Quem estiver próximo sente o impacto atravessar o corpo como um espasmo profundo — não é dor intensa, mas uma interrupção abrupta do controle muscular. Por um instante, o corpo simplesmente deixa de obedecer.</t>
  </si>
  <si>
    <t xml:space="preserve">
- Qualquer criatura dentro da área realiza teste de HT-3.
- Em caso de falha, fica atordoado.
- Em caso de falha crítica, fica atordoado e cai de joelhos; perde a próxima ação depois do atordoamente automáticamente.
- Alvos usando armaduras pesadas sofrem -1 adicional no teste de HT.
- Em superfícies molhadas a área de efeito é multiplicada por 2.
- Em caso de sucesso, sofre -2 de DX no próximo turno devido a espasmos residuais.</t>
  </si>
  <si>
    <t xml:space="preserve">
- Qualquer criatura dentro da área realiza teste de HT-4.
- Em caso de falha, fica atordoado.
- Em caso de falha crítica, fica atordoado e cai de joelhos; perde a próxima ação depois do atordoamente automáticamente.
- Alvos usando armaduras pesadas sofrem -1 adicional no teste de HT.
- Em superfícies molhadas a área de efeito é multiplicada por 2.
- Em caso de sucesso, sofre -2 de DX no próximo turno devido a espasmos residuais.</t>
  </si>
  <si>
    <t xml:space="preserve">
- Qualquer criatura dentro da área realiza teste de HT-5.
- Em caso de falha, fica atordoado.
- Em caso de falha crítica, fica atordoado e cai de joelhos; perde a próxima ação depois do atordoamente automáticamente.
- Alvos usando armaduras pesadas sofrem -1 adicional no teste de HT.
- Em superfícies molhadas a área de efeito é multiplicada por 2.
- Em caso de sucesso, sofre -2 de DX no próximo turno devido a espasmos residuais.</t>
  </si>
  <si>
    <t>Bomba de Sono</t>
  </si>
  <si>
    <t>Adormece os alvos.</t>
  </si>
  <si>
    <t xml:space="preserve">
- Um frasco esférico de vidro fino contendo um pó marfim pálido, quase perolado, que cintila suavemente mesmo na penumbra.
- Ao ser movimentado, o conteúdo se comporta como areia extremamente fina, formando redemoinhos delicados que parecem mais leves que o ar.
- Pequenos brilhos surgem e desaparecem no interior, como reflexos de luar aprisionados.
- Ao se romper, o pó se dispersa em uma névoa dourada quase imperceptível, pairando por um breve instante antes de se espalhar silenciosamente pelo ambiente.
- O ar se preenche com um aroma adocicado e suave, lembrando flores noturnas e páginas antigas.
- A inalação é inevitável para quem estiver próximo — e, com ela, vem um torpor súbito, como se o mundo perdesse peso e a consciência fosse gentilmente puxada para o sono.</t>
  </si>
  <si>
    <t xml:space="preserve">
- A vítimia precisa fazer dois testes de HT, com redutor de -6  e -4, respectivamente, para resistir aos efeitos da bomba.
- Se falhar no primeiro teste o alvo cairá no sono, se passar no primeiro sofrerá penalidade de -5 em qualquer teste de percepção e feitiços sensoriais, se passar em ambos evitará ambos os efeitos.</t>
  </si>
  <si>
    <t>consumable_cooldown</t>
  </si>
  <si>
    <t>Óleo de Basilisco</t>
  </si>
  <si>
    <t>Óleo</t>
  </si>
  <si>
    <t xml:space="preserve">
- Comum: 1 Dia
- Boa: 12 Horas
- Superior: 6 Horas
- Excelente: 3 Horas
- Obra Prima: 1 Hora</t>
  </si>
  <si>
    <t>Remove petrificação, com tempo de conclusão a depender da qualidade.</t>
  </si>
  <si>
    <t>Remove petrificação.</t>
  </si>
  <si>
    <t>Óleo de Golpe Certeiro</t>
  </si>
  <si>
    <t>Armamento</t>
  </si>
  <si>
    <t xml:space="preserve">
- Comum: 2 Turnos
- Boa: 3 Turnos
- Superior: 4 Turnos
- Excelente: 5 Turnos
- Obra Prima: 6 Turnos</t>
  </si>
  <si>
    <t xml:space="preserve">
- Comum: +1 NH da perícia da arma.
- Boa: +2 NH da perícia da arma.
- Superior: +3 NH da perícia da arma.
- Excelente: +4 NH da perícia da arma.
- Obra Prima: +5 NH da perícia da arma.</t>
  </si>
  <si>
    <t>Aumenta chance de acerto da arma.</t>
  </si>
  <si>
    <t xml:space="preserve">
- Caso seja utilizado na mesma arma em um intervalo menor do que 1 dia, a arma corre risco de se deteriorar e quebrar.</t>
  </si>
  <si>
    <t>Óleo de Afiação</t>
  </si>
  <si>
    <t xml:space="preserve">
- Comum: +1 de dano da arma.
- Boa: +2 de dano da arma.
- Superior: +3 de dano da arma.
- Excelente: +4 de dano da arma.
- Obra Prima: +5 NH de dano da arma.</t>
  </si>
  <si>
    <t>Aumenta o dano de uma arma branca.</t>
  </si>
  <si>
    <t>Óleo de Infusão Elemental</t>
  </si>
  <si>
    <t xml:space="preserve">
- Comum: +2 de dano do elemento em questão à arma,
- Boa: +3 de dano do elemento em questão à arma.
- Superior: +4 de dano do elemento em questão à arma.
- Excelente: +5 de dano do elemento em questão à arma.
- Obra Prima: +6 de dano do elemento em questão à arma.</t>
  </si>
  <si>
    <t>Aplica dano elemental a uma arma branca, a depender dos ingredientes usados.</t>
  </si>
  <si>
    <t>Flagelo do Vazio</t>
  </si>
  <si>
    <t xml:space="preserve">
- Comum: +2 de dano contra criaturas do Vazio.
- Boa: +3 de dano contra criaturas do Vazio.
- Superior: +4 de dano contra criaturas do Vazio.
- Excelente: +5 de dano contra criaturas do Vazio.
- Obra Prima: +6 de dano contra criaturas do Vazio.</t>
  </si>
  <si>
    <t>Aplica dano extra contra criaturas do Vazio.</t>
  </si>
  <si>
    <t xml:space="preserve">
- Caso seja utilizado na mesma arma em um intervalo menor do que 1 dia, a arma corre risco de se deteriorar e quebrar.
- Não afeta qualquer outro tipo de ser.</t>
  </si>
  <si>
    <t>Flagelo dos Gobinóides</t>
  </si>
  <si>
    <t xml:space="preserve">
- Comum: +2 de dano contra Gobinóides.
- Boa: +3 de dano contra Gobinóides.
- Superior: +4 de dano contra Gobinóides.
- Excelente: +5 de dano contra Gobinóides.
- Obra Prima: +6 de dano contra Gobinóides.</t>
  </si>
  <si>
    <t>Aplica dano extra contra Gobinóides.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</si>
</sst>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7.0"/>
      <color theme="1"/>
      <name val="Calibri"/>
    </font>
    <font>
      <sz val="11.0"/>
      <color theme="1"/>
      <name val="Calibri"/>
    </font>
    <font>
      <sz val="7.0"/>
      <color theme="1"/>
      <name val="Calibri"/>
    </font>
    <font>
      <sz val="7.0"/>
      <color theme="1"/>
      <name val="Calibri"/>
      <scheme val="minor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2" numFmtId="0" xfId="0" applyFont="1"/>
    <xf borderId="0" fillId="0" fontId="3" numFmtId="0" xfId="0" applyAlignment="1" applyFont="1">
      <alignment horizontal="left" shrinkToFit="0" vertical="center" wrapText="1"/>
    </xf>
    <xf borderId="0" fillId="0" fontId="3" numFmtId="3" xfId="0" applyAlignment="1" applyFont="1" applyNumberFormat="1">
      <alignment horizontal="left" shrinkToFit="0" vertical="center" wrapText="1"/>
    </xf>
    <xf borderId="0" fillId="0" fontId="3" numFmtId="0" xfId="0" applyFont="1"/>
    <xf borderId="0" fillId="0" fontId="3" numFmtId="0" xfId="0" applyAlignment="1" applyFont="1">
      <alignment shrinkToFit="0" wrapText="1"/>
    </xf>
    <xf borderId="0" fillId="0" fontId="2" numFmtId="3" xfId="0" applyFont="1" applyNumberFormat="1"/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horizontal="left" readingOrder="0" shrinkToFit="0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left" shrinkToFit="0" wrapText="1"/>
    </xf>
    <xf borderId="0" fillId="0" fontId="4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17.57"/>
    <col customWidth="1" min="3" max="3" width="28.86"/>
    <col customWidth="1" min="4" max="5" width="16.57"/>
    <col customWidth="1" min="6" max="6" width="20.14"/>
    <col customWidth="1" hidden="1" min="7" max="7" width="22.0"/>
    <col customWidth="1" min="8" max="8" width="25.0"/>
    <col customWidth="1" min="9" max="9" width="23.57"/>
    <col customWidth="1" min="10" max="10" width="19.0"/>
    <col customWidth="1" min="11" max="11" width="17.0"/>
    <col customWidth="1" min="12" max="12" width="18.57"/>
    <col customWidth="1" min="13" max="13" width="51.0"/>
    <col customWidth="1" min="14" max="14" width="6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14</v>
      </c>
      <c r="B2" s="3" t="s">
        <v>15</v>
      </c>
      <c r="C2" s="3" t="str">
        <f t="shared" ref="C2:C46" si="1">CONCATENATE(B2," | ",D2)</f>
        <v>Purificador | Comum</v>
      </c>
      <c r="D2" s="3" t="s">
        <v>16</v>
      </c>
      <c r="E2" s="3" t="s">
        <v>17</v>
      </c>
      <c r="F2" s="3" t="s">
        <v>18</v>
      </c>
      <c r="G2" s="1"/>
      <c r="H2" s="3" t="s">
        <v>19</v>
      </c>
      <c r="I2" s="3" t="s">
        <v>20</v>
      </c>
      <c r="J2" s="3">
        <v>0.0</v>
      </c>
      <c r="K2" s="4">
        <v>15.0</v>
      </c>
      <c r="L2" s="3">
        <v>0.5</v>
      </c>
      <c r="M2" s="3" t="s">
        <v>21</v>
      </c>
      <c r="N2" s="3" t="s">
        <v>22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tr">
        <f t="shared" ref="A3:A46" si="2">LEFT(A2,FIND("-",A2)) &amp; TEXT(VALUE(MID(A2,FIND("-",A2)+1,99)) + 1,"000")</f>
        <v>potion-001</v>
      </c>
      <c r="B3" s="3" t="s">
        <v>15</v>
      </c>
      <c r="C3" s="3" t="str">
        <f t="shared" si="1"/>
        <v>Purificador | Boa</v>
      </c>
      <c r="D3" s="3" t="s">
        <v>23</v>
      </c>
      <c r="E3" s="3" t="s">
        <v>17</v>
      </c>
      <c r="F3" s="3" t="s">
        <v>18</v>
      </c>
      <c r="G3" s="1"/>
      <c r="H3" s="3" t="s">
        <v>19</v>
      </c>
      <c r="I3" s="3" t="s">
        <v>24</v>
      </c>
      <c r="J3" s="3">
        <v>0.0</v>
      </c>
      <c r="K3" s="4">
        <v>30.0</v>
      </c>
      <c r="L3" s="3">
        <v>0.4</v>
      </c>
      <c r="M3" s="3" t="s">
        <v>21</v>
      </c>
      <c r="N3" s="3" t="s">
        <v>22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tr">
        <f t="shared" si="2"/>
        <v>potion-002</v>
      </c>
      <c r="B4" s="3" t="s">
        <v>15</v>
      </c>
      <c r="C4" s="3" t="str">
        <f t="shared" si="1"/>
        <v>Purificador | Superior</v>
      </c>
      <c r="D4" s="3" t="s">
        <v>25</v>
      </c>
      <c r="E4" s="3" t="s">
        <v>17</v>
      </c>
      <c r="F4" s="3" t="s">
        <v>18</v>
      </c>
      <c r="G4" s="1"/>
      <c r="H4" s="3" t="s">
        <v>19</v>
      </c>
      <c r="I4" s="3" t="s">
        <v>26</v>
      </c>
      <c r="J4" s="3">
        <v>0.0</v>
      </c>
      <c r="K4" s="4">
        <v>60.0</v>
      </c>
      <c r="L4" s="3">
        <v>0.3</v>
      </c>
      <c r="M4" s="3" t="s">
        <v>21</v>
      </c>
      <c r="N4" s="3" t="s">
        <v>22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" t="str">
        <f t="shared" si="2"/>
        <v>potion-003</v>
      </c>
      <c r="B5" s="3" t="s">
        <v>15</v>
      </c>
      <c r="C5" s="3" t="str">
        <f t="shared" si="1"/>
        <v>Purificador | Excelente</v>
      </c>
      <c r="D5" s="3" t="s">
        <v>27</v>
      </c>
      <c r="E5" s="3" t="s">
        <v>17</v>
      </c>
      <c r="F5" s="3" t="s">
        <v>18</v>
      </c>
      <c r="G5" s="1"/>
      <c r="H5" s="3" t="s">
        <v>19</v>
      </c>
      <c r="I5" s="3" t="s">
        <v>28</v>
      </c>
      <c r="J5" s="3">
        <v>0.0</v>
      </c>
      <c r="K5" s="4">
        <v>120.0</v>
      </c>
      <c r="L5" s="3">
        <v>0.2</v>
      </c>
      <c r="M5" s="3" t="s">
        <v>21</v>
      </c>
      <c r="N5" s="3" t="s">
        <v>22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" t="str">
        <f t="shared" si="2"/>
        <v>potion-004</v>
      </c>
      <c r="B6" s="3" t="s">
        <v>15</v>
      </c>
      <c r="C6" s="3" t="str">
        <f t="shared" si="1"/>
        <v>Purificador | Obra-Prima</v>
      </c>
      <c r="D6" s="3" t="s">
        <v>29</v>
      </c>
      <c r="E6" s="3" t="s">
        <v>17</v>
      </c>
      <c r="F6" s="3" t="s">
        <v>18</v>
      </c>
      <c r="G6" s="1"/>
      <c r="H6" s="3" t="s">
        <v>19</v>
      </c>
      <c r="I6" s="3" t="s">
        <v>30</v>
      </c>
      <c r="J6" s="3">
        <v>0.0</v>
      </c>
      <c r="K6" s="4">
        <v>240.0</v>
      </c>
      <c r="L6" s="3">
        <v>0.1</v>
      </c>
      <c r="M6" s="3" t="s">
        <v>21</v>
      </c>
      <c r="N6" s="3" t="s">
        <v>22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" t="str">
        <f t="shared" si="2"/>
        <v>potion-005</v>
      </c>
      <c r="B7" s="3" t="s">
        <v>31</v>
      </c>
      <c r="C7" s="3" t="str">
        <f t="shared" si="1"/>
        <v>Poção de Vida | Comum</v>
      </c>
      <c r="D7" s="3" t="s">
        <v>16</v>
      </c>
      <c r="E7" s="3" t="s">
        <v>17</v>
      </c>
      <c r="F7" s="3" t="s">
        <v>32</v>
      </c>
      <c r="G7" s="3"/>
      <c r="H7" s="3" t="s">
        <v>19</v>
      </c>
      <c r="I7" s="3" t="s">
        <v>33</v>
      </c>
      <c r="J7" s="3">
        <v>5.0</v>
      </c>
      <c r="K7" s="4">
        <v>30.0</v>
      </c>
      <c r="L7" s="3">
        <v>0.5</v>
      </c>
      <c r="M7" s="3" t="s">
        <v>34</v>
      </c>
      <c r="N7" s="3" t="s">
        <v>35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3" t="str">
        <f t="shared" si="2"/>
        <v>potion-006</v>
      </c>
      <c r="B8" s="3" t="s">
        <v>31</v>
      </c>
      <c r="C8" s="3" t="str">
        <f t="shared" si="1"/>
        <v>Poção de Vida | Boa</v>
      </c>
      <c r="D8" s="3" t="s">
        <v>23</v>
      </c>
      <c r="E8" s="3" t="s">
        <v>17</v>
      </c>
      <c r="F8" s="3" t="s">
        <v>32</v>
      </c>
      <c r="G8" s="3"/>
      <c r="H8" s="3" t="s">
        <v>19</v>
      </c>
      <c r="I8" s="3" t="s">
        <v>36</v>
      </c>
      <c r="J8" s="3">
        <v>4.0</v>
      </c>
      <c r="K8" s="4">
        <v>60.0</v>
      </c>
      <c r="L8" s="3">
        <v>0.4</v>
      </c>
      <c r="M8" s="3" t="s">
        <v>34</v>
      </c>
      <c r="N8" s="3" t="s">
        <v>35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3" t="str">
        <f t="shared" si="2"/>
        <v>potion-007</v>
      </c>
      <c r="B9" s="3" t="s">
        <v>31</v>
      </c>
      <c r="C9" s="3" t="str">
        <f t="shared" si="1"/>
        <v>Poção de Vida | Superior</v>
      </c>
      <c r="D9" s="3" t="s">
        <v>25</v>
      </c>
      <c r="E9" s="3" t="s">
        <v>17</v>
      </c>
      <c r="F9" s="3" t="s">
        <v>32</v>
      </c>
      <c r="G9" s="3"/>
      <c r="H9" s="3" t="s">
        <v>19</v>
      </c>
      <c r="I9" s="3" t="s">
        <v>37</v>
      </c>
      <c r="J9" s="3">
        <v>3.0</v>
      </c>
      <c r="K9" s="4">
        <v>120.0</v>
      </c>
      <c r="L9" s="3">
        <v>0.3</v>
      </c>
      <c r="M9" s="3" t="s">
        <v>34</v>
      </c>
      <c r="N9" s="3" t="s">
        <v>35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3" t="str">
        <f t="shared" si="2"/>
        <v>potion-008</v>
      </c>
      <c r="B10" s="3" t="s">
        <v>31</v>
      </c>
      <c r="C10" s="3" t="str">
        <f t="shared" si="1"/>
        <v>Poção de Vida | Excelente</v>
      </c>
      <c r="D10" s="3" t="s">
        <v>27</v>
      </c>
      <c r="E10" s="3" t="s">
        <v>17</v>
      </c>
      <c r="F10" s="3" t="s">
        <v>32</v>
      </c>
      <c r="G10" s="3"/>
      <c r="H10" s="3" t="s">
        <v>19</v>
      </c>
      <c r="I10" s="3" t="s">
        <v>38</v>
      </c>
      <c r="J10" s="3">
        <v>2.0</v>
      </c>
      <c r="K10" s="4">
        <v>240.0</v>
      </c>
      <c r="L10" s="3">
        <v>0.2</v>
      </c>
      <c r="M10" s="3" t="s">
        <v>34</v>
      </c>
      <c r="N10" s="3" t="s">
        <v>35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3" t="str">
        <f t="shared" si="2"/>
        <v>potion-009</v>
      </c>
      <c r="B11" s="3" t="s">
        <v>31</v>
      </c>
      <c r="C11" s="3" t="str">
        <f t="shared" si="1"/>
        <v>Poção de Vida | Obra-Prima</v>
      </c>
      <c r="D11" s="3" t="s">
        <v>29</v>
      </c>
      <c r="E11" s="3" t="s">
        <v>17</v>
      </c>
      <c r="F11" s="3" t="s">
        <v>32</v>
      </c>
      <c r="G11" s="3"/>
      <c r="H11" s="3" t="s">
        <v>19</v>
      </c>
      <c r="I11" s="3" t="s">
        <v>39</v>
      </c>
      <c r="J11" s="3">
        <v>1.0</v>
      </c>
      <c r="K11" s="4">
        <v>480.0</v>
      </c>
      <c r="L11" s="3">
        <v>0.1</v>
      </c>
      <c r="M11" s="3" t="s">
        <v>34</v>
      </c>
      <c r="N11" s="3" t="s">
        <v>35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3" t="str">
        <f t="shared" si="2"/>
        <v>potion-010</v>
      </c>
      <c r="B12" s="3" t="s">
        <v>40</v>
      </c>
      <c r="C12" s="3" t="str">
        <f t="shared" si="1"/>
        <v>Poção de Vida Contínua | Comum</v>
      </c>
      <c r="D12" s="3" t="s">
        <v>16</v>
      </c>
      <c r="E12" s="3" t="s">
        <v>17</v>
      </c>
      <c r="F12" s="3" t="s">
        <v>32</v>
      </c>
      <c r="G12" s="3"/>
      <c r="H12" s="3" t="s">
        <v>41</v>
      </c>
      <c r="I12" s="3" t="s">
        <v>33</v>
      </c>
      <c r="J12" s="3">
        <v>10.0</v>
      </c>
      <c r="K12" s="4">
        <v>60.0</v>
      </c>
      <c r="L12" s="3">
        <v>0.5</v>
      </c>
      <c r="M12" s="3" t="s">
        <v>42</v>
      </c>
      <c r="N12" s="3" t="s">
        <v>43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3" t="str">
        <f t="shared" si="2"/>
        <v>potion-011</v>
      </c>
      <c r="B13" s="3" t="s">
        <v>40</v>
      </c>
      <c r="C13" s="3" t="str">
        <f t="shared" si="1"/>
        <v>Poção de Vida Contínua | Boa</v>
      </c>
      <c r="D13" s="3" t="s">
        <v>23</v>
      </c>
      <c r="E13" s="3" t="s">
        <v>17</v>
      </c>
      <c r="F13" s="3" t="s">
        <v>32</v>
      </c>
      <c r="G13" s="3"/>
      <c r="H13" s="3" t="s">
        <v>44</v>
      </c>
      <c r="I13" s="3" t="s">
        <v>45</v>
      </c>
      <c r="J13" s="3">
        <v>8.0</v>
      </c>
      <c r="K13" s="4">
        <v>120.0</v>
      </c>
      <c r="L13" s="3">
        <v>0.4</v>
      </c>
      <c r="M13" s="3" t="s">
        <v>42</v>
      </c>
      <c r="N13" s="3" t="s">
        <v>43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3" t="str">
        <f t="shared" si="2"/>
        <v>potion-012</v>
      </c>
      <c r="B14" s="3" t="s">
        <v>40</v>
      </c>
      <c r="C14" s="3" t="str">
        <f t="shared" si="1"/>
        <v>Poção de Vida Contínua | Superior</v>
      </c>
      <c r="D14" s="3" t="s">
        <v>25</v>
      </c>
      <c r="E14" s="3" t="s">
        <v>17</v>
      </c>
      <c r="F14" s="3" t="s">
        <v>32</v>
      </c>
      <c r="G14" s="3"/>
      <c r="H14" s="3" t="s">
        <v>46</v>
      </c>
      <c r="I14" s="3" t="s">
        <v>36</v>
      </c>
      <c r="J14" s="3">
        <v>6.0</v>
      </c>
      <c r="K14" s="4">
        <v>240.0</v>
      </c>
      <c r="L14" s="3">
        <v>0.3</v>
      </c>
      <c r="M14" s="3" t="s">
        <v>42</v>
      </c>
      <c r="N14" s="3" t="s">
        <v>43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3" t="str">
        <f t="shared" si="2"/>
        <v>potion-013</v>
      </c>
      <c r="B15" s="3" t="s">
        <v>40</v>
      </c>
      <c r="C15" s="3" t="str">
        <f t="shared" si="1"/>
        <v>Poção de Vida Contínua | Excelente</v>
      </c>
      <c r="D15" s="3" t="s">
        <v>27</v>
      </c>
      <c r="E15" s="3" t="s">
        <v>17</v>
      </c>
      <c r="F15" s="3" t="s">
        <v>32</v>
      </c>
      <c r="G15" s="3"/>
      <c r="H15" s="3" t="s">
        <v>47</v>
      </c>
      <c r="I15" s="3" t="s">
        <v>48</v>
      </c>
      <c r="J15" s="3">
        <v>4.0</v>
      </c>
      <c r="K15" s="4">
        <v>480.0</v>
      </c>
      <c r="L15" s="3">
        <v>0.2</v>
      </c>
      <c r="M15" s="3" t="s">
        <v>42</v>
      </c>
      <c r="N15" s="3" t="s">
        <v>43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3" t="str">
        <f t="shared" si="2"/>
        <v>potion-014</v>
      </c>
      <c r="B16" s="3" t="s">
        <v>40</v>
      </c>
      <c r="C16" s="3" t="str">
        <f t="shared" si="1"/>
        <v>Poção de Vida Contínua | Obra-Prima</v>
      </c>
      <c r="D16" s="3" t="s">
        <v>29</v>
      </c>
      <c r="E16" s="3" t="s">
        <v>17</v>
      </c>
      <c r="F16" s="3" t="s">
        <v>32</v>
      </c>
      <c r="G16" s="3"/>
      <c r="H16" s="3" t="s">
        <v>49</v>
      </c>
      <c r="I16" s="3" t="s">
        <v>37</v>
      </c>
      <c r="J16" s="3">
        <v>2.0</v>
      </c>
      <c r="K16" s="4">
        <v>960.0</v>
      </c>
      <c r="L16" s="3">
        <v>0.1</v>
      </c>
      <c r="M16" s="3" t="s">
        <v>42</v>
      </c>
      <c r="N16" s="3" t="s">
        <v>43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3" t="str">
        <f t="shared" si="2"/>
        <v>potion-015</v>
      </c>
      <c r="B17" s="3" t="s">
        <v>50</v>
      </c>
      <c r="C17" s="3" t="str">
        <f t="shared" si="1"/>
        <v>Poção de Mana | Comum</v>
      </c>
      <c r="D17" s="3" t="s">
        <v>16</v>
      </c>
      <c r="E17" s="3" t="s">
        <v>17</v>
      </c>
      <c r="F17" s="3" t="s">
        <v>32</v>
      </c>
      <c r="G17" s="3"/>
      <c r="H17" s="3" t="s">
        <v>19</v>
      </c>
      <c r="I17" s="3" t="s">
        <v>51</v>
      </c>
      <c r="J17" s="3">
        <v>5.0</v>
      </c>
      <c r="K17" s="4">
        <v>30.0</v>
      </c>
      <c r="L17" s="3">
        <v>0.5</v>
      </c>
      <c r="M17" s="3" t="s">
        <v>52</v>
      </c>
      <c r="N17" s="3" t="s">
        <v>53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3" t="str">
        <f t="shared" si="2"/>
        <v>potion-016</v>
      </c>
      <c r="B18" s="3" t="s">
        <v>50</v>
      </c>
      <c r="C18" s="3" t="str">
        <f t="shared" si="1"/>
        <v>Poção de Mana | Boa</v>
      </c>
      <c r="D18" s="3" t="s">
        <v>23</v>
      </c>
      <c r="E18" s="3" t="s">
        <v>17</v>
      </c>
      <c r="F18" s="3" t="s">
        <v>32</v>
      </c>
      <c r="G18" s="3"/>
      <c r="H18" s="3" t="s">
        <v>19</v>
      </c>
      <c r="I18" s="3" t="s">
        <v>54</v>
      </c>
      <c r="J18" s="3">
        <v>4.0</v>
      </c>
      <c r="K18" s="4">
        <v>60.0</v>
      </c>
      <c r="L18" s="3">
        <v>0.4</v>
      </c>
      <c r="M18" s="3" t="s">
        <v>52</v>
      </c>
      <c r="N18" s="3" t="s">
        <v>53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3" t="str">
        <f t="shared" si="2"/>
        <v>potion-017</v>
      </c>
      <c r="B19" s="3" t="s">
        <v>50</v>
      </c>
      <c r="C19" s="3" t="str">
        <f t="shared" si="1"/>
        <v>Poção de Mana | Superior</v>
      </c>
      <c r="D19" s="3" t="s">
        <v>25</v>
      </c>
      <c r="E19" s="3" t="s">
        <v>17</v>
      </c>
      <c r="F19" s="3" t="s">
        <v>32</v>
      </c>
      <c r="G19" s="3"/>
      <c r="H19" s="3" t="s">
        <v>19</v>
      </c>
      <c r="I19" s="3" t="s">
        <v>55</v>
      </c>
      <c r="J19" s="3">
        <v>3.0</v>
      </c>
      <c r="K19" s="4">
        <v>120.0</v>
      </c>
      <c r="L19" s="3">
        <v>0.3</v>
      </c>
      <c r="M19" s="3" t="s">
        <v>52</v>
      </c>
      <c r="N19" s="3" t="s">
        <v>53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3" t="str">
        <f t="shared" si="2"/>
        <v>potion-018</v>
      </c>
      <c r="B20" s="3" t="s">
        <v>50</v>
      </c>
      <c r="C20" s="3" t="str">
        <f t="shared" si="1"/>
        <v>Poção de Mana | Excelente</v>
      </c>
      <c r="D20" s="3" t="s">
        <v>27</v>
      </c>
      <c r="E20" s="3" t="s">
        <v>17</v>
      </c>
      <c r="F20" s="3" t="s">
        <v>32</v>
      </c>
      <c r="G20" s="3"/>
      <c r="H20" s="3" t="s">
        <v>19</v>
      </c>
      <c r="I20" s="3" t="s">
        <v>56</v>
      </c>
      <c r="J20" s="3">
        <v>2.0</v>
      </c>
      <c r="K20" s="4">
        <v>240.0</v>
      </c>
      <c r="L20" s="3">
        <v>0.2</v>
      </c>
      <c r="M20" s="3" t="s">
        <v>52</v>
      </c>
      <c r="N20" s="3" t="s">
        <v>53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3" t="str">
        <f t="shared" si="2"/>
        <v>potion-019</v>
      </c>
      <c r="B21" s="3" t="s">
        <v>50</v>
      </c>
      <c r="C21" s="3" t="str">
        <f t="shared" si="1"/>
        <v>Poção de Mana | Obra-Prima</v>
      </c>
      <c r="D21" s="3" t="s">
        <v>29</v>
      </c>
      <c r="E21" s="3" t="s">
        <v>17</v>
      </c>
      <c r="F21" s="3" t="s">
        <v>32</v>
      </c>
      <c r="G21" s="3"/>
      <c r="H21" s="3" t="s">
        <v>19</v>
      </c>
      <c r="I21" s="3" t="s">
        <v>57</v>
      </c>
      <c r="J21" s="3">
        <v>1.0</v>
      </c>
      <c r="K21" s="4">
        <v>480.0</v>
      </c>
      <c r="L21" s="3">
        <v>0.1</v>
      </c>
      <c r="M21" s="3" t="s">
        <v>52</v>
      </c>
      <c r="N21" s="3" t="s">
        <v>53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3" t="str">
        <f t="shared" si="2"/>
        <v>potion-020</v>
      </c>
      <c r="B22" s="3" t="s">
        <v>58</v>
      </c>
      <c r="C22" s="3" t="str">
        <f t="shared" si="1"/>
        <v>Poção de Mana Contínua | Comum</v>
      </c>
      <c r="D22" s="3" t="s">
        <v>16</v>
      </c>
      <c r="E22" s="3" t="s">
        <v>17</v>
      </c>
      <c r="F22" s="3" t="s">
        <v>32</v>
      </c>
      <c r="G22" s="3"/>
      <c r="H22" s="3" t="s">
        <v>41</v>
      </c>
      <c r="I22" s="3" t="s">
        <v>51</v>
      </c>
      <c r="J22" s="3">
        <v>10.0</v>
      </c>
      <c r="K22" s="4">
        <v>60.0</v>
      </c>
      <c r="L22" s="3">
        <v>0.5</v>
      </c>
      <c r="M22" s="3" t="s">
        <v>59</v>
      </c>
      <c r="N22" s="3" t="s">
        <v>53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3" t="str">
        <f t="shared" si="2"/>
        <v>potion-021</v>
      </c>
      <c r="B23" s="3" t="s">
        <v>58</v>
      </c>
      <c r="C23" s="3" t="str">
        <f t="shared" si="1"/>
        <v>Poção de Mana Contínua | Boa</v>
      </c>
      <c r="D23" s="3" t="s">
        <v>23</v>
      </c>
      <c r="E23" s="3" t="s">
        <v>17</v>
      </c>
      <c r="F23" s="3" t="s">
        <v>32</v>
      </c>
      <c r="G23" s="3"/>
      <c r="H23" s="3" t="s">
        <v>44</v>
      </c>
      <c r="I23" s="3" t="s">
        <v>60</v>
      </c>
      <c r="J23" s="3">
        <v>8.0</v>
      </c>
      <c r="K23" s="4">
        <v>120.0</v>
      </c>
      <c r="L23" s="3">
        <v>0.4</v>
      </c>
      <c r="M23" s="3" t="s">
        <v>59</v>
      </c>
      <c r="N23" s="3" t="s">
        <v>53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3" t="str">
        <f t="shared" si="2"/>
        <v>potion-022</v>
      </c>
      <c r="B24" s="3" t="s">
        <v>58</v>
      </c>
      <c r="C24" s="3" t="str">
        <f t="shared" si="1"/>
        <v>Poção de Mana Contínua | Superior</v>
      </c>
      <c r="D24" s="3" t="s">
        <v>25</v>
      </c>
      <c r="E24" s="3" t="s">
        <v>17</v>
      </c>
      <c r="F24" s="3" t="s">
        <v>32</v>
      </c>
      <c r="G24" s="3"/>
      <c r="H24" s="3" t="s">
        <v>46</v>
      </c>
      <c r="I24" s="3" t="s">
        <v>54</v>
      </c>
      <c r="J24" s="3">
        <v>6.0</v>
      </c>
      <c r="K24" s="4">
        <v>240.0</v>
      </c>
      <c r="L24" s="3">
        <v>0.3</v>
      </c>
      <c r="M24" s="3" t="s">
        <v>59</v>
      </c>
      <c r="N24" s="3" t="s">
        <v>53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3" t="str">
        <f t="shared" si="2"/>
        <v>potion-023</v>
      </c>
      <c r="B25" s="3" t="s">
        <v>58</v>
      </c>
      <c r="C25" s="3" t="str">
        <f t="shared" si="1"/>
        <v>Poção de Mana Contínua | Excelente</v>
      </c>
      <c r="D25" s="3" t="s">
        <v>27</v>
      </c>
      <c r="E25" s="3" t="s">
        <v>17</v>
      </c>
      <c r="F25" s="3" t="s">
        <v>32</v>
      </c>
      <c r="G25" s="3"/>
      <c r="H25" s="3" t="s">
        <v>47</v>
      </c>
      <c r="I25" s="3" t="s">
        <v>61</v>
      </c>
      <c r="J25" s="3">
        <v>4.0</v>
      </c>
      <c r="K25" s="4">
        <v>480.0</v>
      </c>
      <c r="L25" s="3">
        <v>0.2</v>
      </c>
      <c r="M25" s="3" t="s">
        <v>59</v>
      </c>
      <c r="N25" s="3" t="s">
        <v>53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3" t="str">
        <f t="shared" si="2"/>
        <v>potion-024</v>
      </c>
      <c r="B26" s="3" t="s">
        <v>58</v>
      </c>
      <c r="C26" s="3" t="str">
        <f t="shared" si="1"/>
        <v>Poção de Mana Contínua | Obra-Prima</v>
      </c>
      <c r="D26" s="3" t="s">
        <v>29</v>
      </c>
      <c r="E26" s="3" t="s">
        <v>17</v>
      </c>
      <c r="F26" s="3" t="s">
        <v>32</v>
      </c>
      <c r="G26" s="3"/>
      <c r="H26" s="3" t="s">
        <v>49</v>
      </c>
      <c r="I26" s="3" t="s">
        <v>55</v>
      </c>
      <c r="J26" s="3">
        <v>2.0</v>
      </c>
      <c r="K26" s="4">
        <v>960.0</v>
      </c>
      <c r="L26" s="3">
        <v>0.1</v>
      </c>
      <c r="M26" s="3" t="s">
        <v>59</v>
      </c>
      <c r="N26" s="3" t="s">
        <v>53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3" t="str">
        <f t="shared" si="2"/>
        <v>potion-025</v>
      </c>
      <c r="B27" s="3" t="s">
        <v>62</v>
      </c>
      <c r="C27" s="3" t="str">
        <f t="shared" si="1"/>
        <v>Poção de Restauração | Comum</v>
      </c>
      <c r="D27" s="3" t="s">
        <v>16</v>
      </c>
      <c r="E27" s="3" t="s">
        <v>17</v>
      </c>
      <c r="F27" s="3" t="s">
        <v>32</v>
      </c>
      <c r="G27" s="3"/>
      <c r="H27" s="3" t="s">
        <v>19</v>
      </c>
      <c r="I27" s="3" t="s">
        <v>63</v>
      </c>
      <c r="J27" s="3">
        <v>16.0</v>
      </c>
      <c r="K27" s="4">
        <v>120.0</v>
      </c>
      <c r="L27" s="3">
        <v>0.5</v>
      </c>
      <c r="M27" s="3" t="s">
        <v>64</v>
      </c>
      <c r="N27" s="3" t="s">
        <v>65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3" t="str">
        <f t="shared" si="2"/>
        <v>potion-026</v>
      </c>
      <c r="B28" s="3" t="s">
        <v>62</v>
      </c>
      <c r="C28" s="3" t="str">
        <f t="shared" si="1"/>
        <v>Poção de Restauração | Boa</v>
      </c>
      <c r="D28" s="3" t="s">
        <v>23</v>
      </c>
      <c r="E28" s="3" t="s">
        <v>17</v>
      </c>
      <c r="F28" s="3" t="s">
        <v>32</v>
      </c>
      <c r="G28" s="3"/>
      <c r="H28" s="3" t="s">
        <v>19</v>
      </c>
      <c r="I28" s="3" t="s">
        <v>66</v>
      </c>
      <c r="J28" s="3">
        <v>14.0</v>
      </c>
      <c r="K28" s="4">
        <v>240.0</v>
      </c>
      <c r="L28" s="3">
        <v>0.4</v>
      </c>
      <c r="M28" s="3" t="s">
        <v>64</v>
      </c>
      <c r="N28" s="3" t="s">
        <v>65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3" t="str">
        <f t="shared" si="2"/>
        <v>potion-027</v>
      </c>
      <c r="B29" s="3" t="s">
        <v>62</v>
      </c>
      <c r="C29" s="3" t="str">
        <f t="shared" si="1"/>
        <v>Poção de Restauração | Superior</v>
      </c>
      <c r="D29" s="3" t="s">
        <v>25</v>
      </c>
      <c r="E29" s="3" t="s">
        <v>17</v>
      </c>
      <c r="F29" s="3" t="s">
        <v>32</v>
      </c>
      <c r="G29" s="3"/>
      <c r="H29" s="3" t="s">
        <v>19</v>
      </c>
      <c r="I29" s="3" t="s">
        <v>67</v>
      </c>
      <c r="J29" s="3">
        <v>12.0</v>
      </c>
      <c r="K29" s="4">
        <v>480.0</v>
      </c>
      <c r="L29" s="3">
        <v>0.3</v>
      </c>
      <c r="M29" s="3" t="s">
        <v>64</v>
      </c>
      <c r="N29" s="3" t="s">
        <v>65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3" t="str">
        <f t="shared" si="2"/>
        <v>potion-028</v>
      </c>
      <c r="B30" s="3" t="s">
        <v>62</v>
      </c>
      <c r="C30" s="3" t="str">
        <f t="shared" si="1"/>
        <v>Poção de Restauração | Excelente</v>
      </c>
      <c r="D30" s="3" t="s">
        <v>27</v>
      </c>
      <c r="E30" s="3" t="s">
        <v>17</v>
      </c>
      <c r="F30" s="3" t="s">
        <v>32</v>
      </c>
      <c r="G30" s="3"/>
      <c r="H30" s="3" t="s">
        <v>19</v>
      </c>
      <c r="I30" s="3" t="s">
        <v>68</v>
      </c>
      <c r="J30" s="3">
        <v>10.0</v>
      </c>
      <c r="K30" s="4">
        <v>960.0</v>
      </c>
      <c r="L30" s="3">
        <v>0.2</v>
      </c>
      <c r="M30" s="3" t="s">
        <v>64</v>
      </c>
      <c r="N30" s="3" t="s">
        <v>65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" t="str">
        <f t="shared" si="2"/>
        <v>potion-029</v>
      </c>
      <c r="B31" s="3" t="s">
        <v>62</v>
      </c>
      <c r="C31" s="3" t="str">
        <f t="shared" si="1"/>
        <v>Poção de Restauração | Obra-Prima</v>
      </c>
      <c r="D31" s="3" t="s">
        <v>29</v>
      </c>
      <c r="E31" s="3" t="s">
        <v>17</v>
      </c>
      <c r="F31" s="3" t="s">
        <v>32</v>
      </c>
      <c r="G31" s="3"/>
      <c r="H31" s="3" t="s">
        <v>19</v>
      </c>
      <c r="I31" s="3" t="s">
        <v>69</v>
      </c>
      <c r="J31" s="3">
        <v>8.0</v>
      </c>
      <c r="K31" s="4">
        <v>1920.0</v>
      </c>
      <c r="L31" s="3">
        <v>0.1</v>
      </c>
      <c r="M31" s="3" t="s">
        <v>64</v>
      </c>
      <c r="N31" s="3" t="s">
        <v>65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" t="str">
        <f t="shared" si="2"/>
        <v>potion-030</v>
      </c>
      <c r="B32" s="3" t="s">
        <v>70</v>
      </c>
      <c r="C32" s="3" t="str">
        <f t="shared" si="1"/>
        <v>Poção de Velocidade | Comum</v>
      </c>
      <c r="D32" s="3" t="s">
        <v>16</v>
      </c>
      <c r="E32" s="3" t="s">
        <v>17</v>
      </c>
      <c r="F32" s="3" t="s">
        <v>18</v>
      </c>
      <c r="G32" s="3"/>
      <c r="H32" s="3" t="s">
        <v>41</v>
      </c>
      <c r="I32" s="3" t="s">
        <v>71</v>
      </c>
      <c r="J32" s="3">
        <v>10.0</v>
      </c>
      <c r="K32" s="4">
        <v>100.0</v>
      </c>
      <c r="L32" s="3">
        <v>0.5</v>
      </c>
      <c r="M32" s="3" t="s">
        <v>72</v>
      </c>
      <c r="N32" s="3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" t="str">
        <f t="shared" si="2"/>
        <v>potion-031</v>
      </c>
      <c r="B33" s="3" t="s">
        <v>70</v>
      </c>
      <c r="C33" s="3" t="str">
        <f t="shared" si="1"/>
        <v>Poção de Velocidade | Boa</v>
      </c>
      <c r="D33" s="3" t="s">
        <v>23</v>
      </c>
      <c r="E33" s="3" t="s">
        <v>17</v>
      </c>
      <c r="F33" s="3" t="s">
        <v>18</v>
      </c>
      <c r="G33" s="3"/>
      <c r="H33" s="3" t="s">
        <v>44</v>
      </c>
      <c r="I33" s="3" t="s">
        <v>71</v>
      </c>
      <c r="J33" s="3">
        <v>8.0</v>
      </c>
      <c r="K33" s="4">
        <v>200.0</v>
      </c>
      <c r="L33" s="3">
        <v>0.4</v>
      </c>
      <c r="M33" s="3" t="s">
        <v>72</v>
      </c>
      <c r="N33" s="3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" t="str">
        <f t="shared" si="2"/>
        <v>potion-032</v>
      </c>
      <c r="B34" s="3" t="s">
        <v>70</v>
      </c>
      <c r="C34" s="3" t="str">
        <f t="shared" si="1"/>
        <v>Poção de Velocidade | Superior</v>
      </c>
      <c r="D34" s="3" t="s">
        <v>25</v>
      </c>
      <c r="E34" s="3" t="s">
        <v>17</v>
      </c>
      <c r="F34" s="3" t="s">
        <v>18</v>
      </c>
      <c r="G34" s="3"/>
      <c r="H34" s="3" t="s">
        <v>46</v>
      </c>
      <c r="I34" s="3" t="s">
        <v>71</v>
      </c>
      <c r="J34" s="3">
        <v>6.0</v>
      </c>
      <c r="K34" s="4">
        <f>K32*4</f>
        <v>400</v>
      </c>
      <c r="L34" s="3">
        <v>0.3</v>
      </c>
      <c r="M34" s="3" t="s">
        <v>72</v>
      </c>
      <c r="N34" s="3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" t="str">
        <f t="shared" si="2"/>
        <v>potion-033</v>
      </c>
      <c r="B35" s="3" t="s">
        <v>70</v>
      </c>
      <c r="C35" s="3" t="str">
        <f t="shared" si="1"/>
        <v>Poção de Velocidade | Excelente</v>
      </c>
      <c r="D35" s="3" t="s">
        <v>27</v>
      </c>
      <c r="E35" s="3" t="s">
        <v>17</v>
      </c>
      <c r="F35" s="3" t="s">
        <v>18</v>
      </c>
      <c r="G35" s="3"/>
      <c r="H35" s="3" t="s">
        <v>47</v>
      </c>
      <c r="I35" s="3" t="s">
        <v>71</v>
      </c>
      <c r="J35" s="3">
        <v>4.0</v>
      </c>
      <c r="K35" s="4">
        <v>800.0</v>
      </c>
      <c r="L35" s="3">
        <v>0.2</v>
      </c>
      <c r="M35" s="3" t="s">
        <v>72</v>
      </c>
      <c r="N35" s="3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" t="str">
        <f t="shared" si="2"/>
        <v>potion-034</v>
      </c>
      <c r="B36" s="3" t="s">
        <v>70</v>
      </c>
      <c r="C36" s="3" t="str">
        <f t="shared" si="1"/>
        <v>Poção de Velocidade | Obra-Prima</v>
      </c>
      <c r="D36" s="3" t="s">
        <v>29</v>
      </c>
      <c r="E36" s="3" t="s">
        <v>17</v>
      </c>
      <c r="F36" s="3" t="s">
        <v>18</v>
      </c>
      <c r="G36" s="3"/>
      <c r="H36" s="3" t="s">
        <v>49</v>
      </c>
      <c r="I36" s="3" t="s">
        <v>73</v>
      </c>
      <c r="J36" s="3">
        <v>2.0</v>
      </c>
      <c r="K36" s="4">
        <v>1600.0</v>
      </c>
      <c r="L36" s="3">
        <v>0.1</v>
      </c>
      <c r="M36" s="3" t="s">
        <v>72</v>
      </c>
      <c r="N36" s="3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" t="str">
        <f t="shared" si="2"/>
        <v>potion-035</v>
      </c>
      <c r="B37" s="3" t="s">
        <v>74</v>
      </c>
      <c r="C37" s="3" t="str">
        <f t="shared" si="1"/>
        <v>Poção de Celeridade | Comum</v>
      </c>
      <c r="D37" s="3" t="s">
        <v>16</v>
      </c>
      <c r="E37" s="3" t="s">
        <v>17</v>
      </c>
      <c r="F37" s="3" t="s">
        <v>18</v>
      </c>
      <c r="G37" s="3"/>
      <c r="H37" s="3" t="s">
        <v>41</v>
      </c>
      <c r="I37" s="3" t="s">
        <v>75</v>
      </c>
      <c r="J37" s="3">
        <v>10.0</v>
      </c>
      <c r="K37" s="4">
        <v>150.0</v>
      </c>
      <c r="L37" s="3">
        <v>0.5</v>
      </c>
      <c r="M37" s="3" t="s">
        <v>76</v>
      </c>
      <c r="N37" s="3" t="s">
        <v>77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" t="str">
        <f t="shared" si="2"/>
        <v>potion-036</v>
      </c>
      <c r="B38" s="3" t="s">
        <v>74</v>
      </c>
      <c r="C38" s="3" t="str">
        <f t="shared" si="1"/>
        <v>Poção de Celeridade | Boa</v>
      </c>
      <c r="D38" s="3" t="s">
        <v>23</v>
      </c>
      <c r="E38" s="3" t="s">
        <v>17</v>
      </c>
      <c r="F38" s="3" t="s">
        <v>18</v>
      </c>
      <c r="G38" s="3"/>
      <c r="H38" s="3" t="s">
        <v>44</v>
      </c>
      <c r="I38" s="3" t="s">
        <v>75</v>
      </c>
      <c r="J38" s="3">
        <v>8.0</v>
      </c>
      <c r="K38" s="4">
        <v>300.0</v>
      </c>
      <c r="L38" s="3">
        <v>0.4</v>
      </c>
      <c r="M38" s="3" t="s">
        <v>76</v>
      </c>
      <c r="N38" s="3" t="s">
        <v>77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" t="str">
        <f t="shared" si="2"/>
        <v>potion-037</v>
      </c>
      <c r="B39" s="3" t="s">
        <v>74</v>
      </c>
      <c r="C39" s="3" t="str">
        <f t="shared" si="1"/>
        <v>Poção de Celeridade | Superior</v>
      </c>
      <c r="D39" s="3" t="s">
        <v>25</v>
      </c>
      <c r="E39" s="3" t="s">
        <v>17</v>
      </c>
      <c r="F39" s="3" t="s">
        <v>18</v>
      </c>
      <c r="G39" s="3"/>
      <c r="H39" s="3" t="s">
        <v>46</v>
      </c>
      <c r="I39" s="3" t="s">
        <v>75</v>
      </c>
      <c r="J39" s="3">
        <v>6.0</v>
      </c>
      <c r="K39" s="4">
        <v>600.0</v>
      </c>
      <c r="L39" s="3">
        <v>0.3</v>
      </c>
      <c r="M39" s="3" t="s">
        <v>76</v>
      </c>
      <c r="N39" s="3" t="s">
        <v>77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" t="str">
        <f t="shared" si="2"/>
        <v>potion-038</v>
      </c>
      <c r="B40" s="3" t="s">
        <v>74</v>
      </c>
      <c r="C40" s="3" t="str">
        <f t="shared" si="1"/>
        <v>Poção de Celeridade | Excelente</v>
      </c>
      <c r="D40" s="3" t="s">
        <v>27</v>
      </c>
      <c r="E40" s="3" t="s">
        <v>17</v>
      </c>
      <c r="F40" s="3" t="s">
        <v>18</v>
      </c>
      <c r="G40" s="3"/>
      <c r="H40" s="3" t="s">
        <v>47</v>
      </c>
      <c r="I40" s="3" t="s">
        <v>75</v>
      </c>
      <c r="J40" s="3">
        <v>4.0</v>
      </c>
      <c r="K40" s="4">
        <v>1200.0</v>
      </c>
      <c r="L40" s="3">
        <v>0.2</v>
      </c>
      <c r="M40" s="3" t="s">
        <v>76</v>
      </c>
      <c r="N40" s="3" t="s">
        <v>77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" t="str">
        <f t="shared" si="2"/>
        <v>potion-039</v>
      </c>
      <c r="B41" s="3" t="s">
        <v>74</v>
      </c>
      <c r="C41" s="3" t="str">
        <f t="shared" si="1"/>
        <v>Poção de Celeridade | Obra-Prima</v>
      </c>
      <c r="D41" s="3" t="s">
        <v>29</v>
      </c>
      <c r="E41" s="3" t="s">
        <v>17</v>
      </c>
      <c r="F41" s="3" t="s">
        <v>18</v>
      </c>
      <c r="G41" s="3"/>
      <c r="H41" s="3" t="s">
        <v>49</v>
      </c>
      <c r="I41" s="3" t="s">
        <v>78</v>
      </c>
      <c r="J41" s="3">
        <v>2.0</v>
      </c>
      <c r="K41" s="4">
        <v>2400.0</v>
      </c>
      <c r="L41" s="3">
        <v>0.1</v>
      </c>
      <c r="M41" s="3" t="s">
        <v>76</v>
      </c>
      <c r="N41" s="3" t="s">
        <v>77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" t="str">
        <f t="shared" si="2"/>
        <v>potion-040</v>
      </c>
      <c r="B42" s="3" t="s">
        <v>79</v>
      </c>
      <c r="C42" s="3" t="str">
        <f t="shared" si="1"/>
        <v>Poção da Mira Perfeita | Comum</v>
      </c>
      <c r="D42" s="3" t="s">
        <v>16</v>
      </c>
      <c r="E42" s="3" t="s">
        <v>17</v>
      </c>
      <c r="F42" s="3" t="s">
        <v>18</v>
      </c>
      <c r="G42" s="5"/>
      <c r="H42" s="3" t="s">
        <v>41</v>
      </c>
      <c r="I42" s="3" t="s">
        <v>80</v>
      </c>
      <c r="J42" s="3">
        <v>10.0</v>
      </c>
      <c r="K42" s="4">
        <v>100.0</v>
      </c>
      <c r="L42" s="3">
        <v>0.5</v>
      </c>
      <c r="M42" s="6" t="s">
        <v>81</v>
      </c>
      <c r="N42" s="5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" t="str">
        <f t="shared" si="2"/>
        <v>potion-041</v>
      </c>
      <c r="B43" s="3" t="s">
        <v>79</v>
      </c>
      <c r="C43" s="3" t="str">
        <f t="shared" si="1"/>
        <v>Poção da Mira Perfeita | Boa</v>
      </c>
      <c r="D43" s="3" t="s">
        <v>23</v>
      </c>
      <c r="E43" s="3" t="s">
        <v>17</v>
      </c>
      <c r="F43" s="3" t="s">
        <v>18</v>
      </c>
      <c r="G43" s="5"/>
      <c r="H43" s="3" t="s">
        <v>44</v>
      </c>
      <c r="I43" s="3" t="s">
        <v>80</v>
      </c>
      <c r="J43" s="3">
        <v>8.0</v>
      </c>
      <c r="K43" s="4">
        <v>200.0</v>
      </c>
      <c r="L43" s="3">
        <v>0.4</v>
      </c>
      <c r="M43" s="6" t="s">
        <v>81</v>
      </c>
      <c r="N43" s="5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" t="str">
        <f t="shared" si="2"/>
        <v>potion-042</v>
      </c>
      <c r="B44" s="3" t="s">
        <v>79</v>
      </c>
      <c r="C44" s="3" t="str">
        <f t="shared" si="1"/>
        <v>Poção da Mira Perfeita | Superior</v>
      </c>
      <c r="D44" s="3" t="s">
        <v>25</v>
      </c>
      <c r="E44" s="3" t="s">
        <v>17</v>
      </c>
      <c r="F44" s="3" t="s">
        <v>18</v>
      </c>
      <c r="G44" s="5"/>
      <c r="H44" s="3" t="s">
        <v>46</v>
      </c>
      <c r="I44" s="3" t="s">
        <v>80</v>
      </c>
      <c r="J44" s="3">
        <v>6.0</v>
      </c>
      <c r="K44" s="4">
        <f>K42*4</f>
        <v>400</v>
      </c>
      <c r="L44" s="3">
        <v>0.3</v>
      </c>
      <c r="M44" s="6" t="s">
        <v>81</v>
      </c>
      <c r="N44" s="5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" t="str">
        <f t="shared" si="2"/>
        <v>potion-043</v>
      </c>
      <c r="B45" s="3" t="s">
        <v>79</v>
      </c>
      <c r="C45" s="3" t="str">
        <f t="shared" si="1"/>
        <v>Poção da Mira Perfeita | Excelente</v>
      </c>
      <c r="D45" s="3" t="s">
        <v>27</v>
      </c>
      <c r="E45" s="3" t="s">
        <v>17</v>
      </c>
      <c r="F45" s="3" t="s">
        <v>18</v>
      </c>
      <c r="G45" s="5"/>
      <c r="H45" s="3" t="s">
        <v>47</v>
      </c>
      <c r="I45" s="3" t="s">
        <v>80</v>
      </c>
      <c r="J45" s="3">
        <v>4.0</v>
      </c>
      <c r="K45" s="4">
        <v>800.0</v>
      </c>
      <c r="L45" s="3">
        <v>0.2</v>
      </c>
      <c r="M45" s="6" t="s">
        <v>81</v>
      </c>
      <c r="N45" s="5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" t="str">
        <f t="shared" si="2"/>
        <v>potion-044</v>
      </c>
      <c r="B46" s="3" t="s">
        <v>79</v>
      </c>
      <c r="C46" s="3" t="str">
        <f t="shared" si="1"/>
        <v>Poção da Mira Perfeita | Obra-Prima</v>
      </c>
      <c r="D46" s="3" t="s">
        <v>29</v>
      </c>
      <c r="E46" s="3" t="s">
        <v>17</v>
      </c>
      <c r="F46" s="3" t="s">
        <v>18</v>
      </c>
      <c r="G46" s="5"/>
      <c r="H46" s="3" t="s">
        <v>49</v>
      </c>
      <c r="I46" s="3" t="s">
        <v>82</v>
      </c>
      <c r="J46" s="3">
        <v>2.0</v>
      </c>
      <c r="K46" s="4">
        <v>1600.0</v>
      </c>
      <c r="L46" s="3">
        <v>0.1</v>
      </c>
      <c r="M46" s="6" t="s">
        <v>81</v>
      </c>
      <c r="N46" s="5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7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7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7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7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7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7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7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7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7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7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7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7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7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7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7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7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7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7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7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7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7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7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7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7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7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7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7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7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7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7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7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7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7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7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7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7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7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7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7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7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7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7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7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7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7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7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7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7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7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7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7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7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7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7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7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7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7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7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7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7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7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7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7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7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7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7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7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7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7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7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7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7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7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7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7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7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7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7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7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7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7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7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7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7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7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7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7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7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7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7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7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7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7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7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7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7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7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7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7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7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7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7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7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7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7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7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7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7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7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7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7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7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7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7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7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7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7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7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7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7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7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7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7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7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7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7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7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7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7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7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7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7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7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7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7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7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7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7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7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7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7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7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7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7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7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7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7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7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7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7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7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7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7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7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7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7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7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7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7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7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7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7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7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7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7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7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7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7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7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7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7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7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7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7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7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7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7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7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7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7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7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7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7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7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7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7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7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7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7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7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7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7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7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7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7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7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7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7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7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7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7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7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7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7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7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7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7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7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7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7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7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7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7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7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7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7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7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7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7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7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7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7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7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7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7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7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7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7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7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7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7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7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7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7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7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7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7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7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7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7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7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7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7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7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7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7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7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7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7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7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7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7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7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7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7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7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7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7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7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7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7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7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7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7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7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7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7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7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7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7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7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7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7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7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7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7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7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7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7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7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7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7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7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7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7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7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7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7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7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7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7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7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7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7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7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7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7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7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7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7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7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7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7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7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7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7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7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7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7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7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7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7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7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7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7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7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7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7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7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7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7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7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7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7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7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7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7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7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7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7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7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7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7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7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7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7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7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7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7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7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7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7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7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7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7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7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7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7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7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7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7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7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7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7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7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7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7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7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7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7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7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7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7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7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7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7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7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7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7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7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7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7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7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7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7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7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7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7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7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7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7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7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7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7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7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7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7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7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7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7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7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7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7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7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7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7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7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7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7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7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7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7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7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7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7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7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7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7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7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7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7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7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7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7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7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7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7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7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7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7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7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7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7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7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7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7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7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7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7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7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7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7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7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7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7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7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7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7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7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7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7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7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7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7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7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7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7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7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7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7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7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7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7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7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7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7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7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7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7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7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7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7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7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7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7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7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7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7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7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7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7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7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7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7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7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7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7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7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7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7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7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7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7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7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7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7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7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7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7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7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7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7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7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7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7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7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7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7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7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7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7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7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7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7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7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7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7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7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7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7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7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7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7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7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7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7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7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7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7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7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7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7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7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7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7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7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7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7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7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7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7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7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7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7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7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7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7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7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7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7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7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7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7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7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7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7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7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7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7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7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7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7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7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7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7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7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7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7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7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7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7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7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7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7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7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7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7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7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7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7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7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7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7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7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7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7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7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7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7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7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7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7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7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7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7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7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7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7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7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7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7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7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7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7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7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7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7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7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7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7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7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7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7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7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7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7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7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7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7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7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7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7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7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7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7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7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7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7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7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7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7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7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7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7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7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7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7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7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7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7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7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7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7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7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7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7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7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7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7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7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7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7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7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7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7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7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7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7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7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7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7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7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7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7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7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7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7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7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7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7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7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7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7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7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7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7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7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7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7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7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7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7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7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7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7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7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7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7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7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7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7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7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7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7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7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7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7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7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7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7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7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7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7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7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7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7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7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7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7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7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7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7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7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7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7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7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7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7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7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7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7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7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7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7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7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7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7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7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7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7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7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7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7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7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7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7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7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7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7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7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7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7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7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7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7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7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7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7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7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7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7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7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7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7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7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7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7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7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7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7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7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7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7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7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7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7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7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7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7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7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7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7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7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7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7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7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7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7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7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7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7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7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7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7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7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7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7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7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7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7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7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7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7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7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7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7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7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7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7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7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7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7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7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7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7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7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7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7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7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7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7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7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7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7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7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7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7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7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7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7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7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7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7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7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7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7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7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7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7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7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7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7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7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7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7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7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7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7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7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7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7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7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7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7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7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7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7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7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7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7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7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7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7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7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7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7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7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7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7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7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7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7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7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7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7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7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7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7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7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7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7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7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7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7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7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7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7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7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7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7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7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7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7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7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7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7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7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7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7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7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7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7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7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7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7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7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7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7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7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7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7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7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7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7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7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7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7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7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7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7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7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7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7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7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7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7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7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7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7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7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7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7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7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7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7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7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7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7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7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7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7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7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7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7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7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7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7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7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7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7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7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7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7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7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7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7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7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7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7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7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7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7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7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7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7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7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7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7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7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7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7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7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7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7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7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7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7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7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7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7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7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7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7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7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7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7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7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 ht="15.7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7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 ht="15.75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7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 ht="15.75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7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 ht="15.75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7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 ht="15.75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7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11.57"/>
    <col customWidth="1" min="3" max="3" width="19.0"/>
    <col customWidth="1" min="4" max="4" width="10.43"/>
    <col customWidth="1" min="5" max="5" width="11.0"/>
    <col customWidth="1" min="6" max="6" width="13.29"/>
    <col customWidth="1" min="7" max="7" width="14.71"/>
    <col customWidth="1" min="8" max="8" width="13.29"/>
    <col customWidth="1" min="9" max="9" width="35.57"/>
    <col customWidth="1" min="10" max="10" width="12.57"/>
    <col customWidth="1" min="11" max="11" width="11.29"/>
    <col customWidth="1" min="12" max="12" width="12.29"/>
    <col customWidth="1" min="13" max="13" width="75.14"/>
    <col customWidth="1" min="14" max="14" width="97.43"/>
    <col customWidth="1" min="15" max="15" width="16.29"/>
  </cols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9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83</v>
      </c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 t="s">
        <v>84</v>
      </c>
      <c r="B2" s="11" t="s">
        <v>85</v>
      </c>
      <c r="C2" s="11" t="str">
        <f t="shared" ref="C2:C31" si="1">CONCATENATE(B2," | ",D2)</f>
        <v>Antídoto | Comum</v>
      </c>
      <c r="D2" s="11" t="s">
        <v>16</v>
      </c>
      <c r="E2" s="11" t="s">
        <v>86</v>
      </c>
      <c r="F2" s="11" t="s">
        <v>85</v>
      </c>
      <c r="G2" s="11"/>
      <c r="H2" s="11" t="s">
        <v>87</v>
      </c>
      <c r="I2" s="11" t="str">
        <f>CONCATENATE("Anula o efeito de venenos ", " de qualidade ", D2, ".")</f>
        <v>Anula o efeito de venenos  de qualidade Comum.</v>
      </c>
      <c r="J2" s="11"/>
      <c r="K2" s="11">
        <v>30.0</v>
      </c>
      <c r="L2" s="11">
        <v>0.5</v>
      </c>
      <c r="M2" s="11" t="s">
        <v>88</v>
      </c>
      <c r="N2" s="11" t="s">
        <v>89</v>
      </c>
      <c r="O2" s="11" t="s">
        <v>90</v>
      </c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tr">
        <f t="shared" ref="A3:A31" si="2">LEFT(A2,FIND("-",A2)) &amp; TEXT(VALUE(MID(A2,FIND("-",A2)+1,99)) + 1,"000")</f>
        <v>poison-001</v>
      </c>
      <c r="B3" s="11" t="s">
        <v>85</v>
      </c>
      <c r="C3" s="11" t="str">
        <f t="shared" si="1"/>
        <v>Antídoto | Boa</v>
      </c>
      <c r="D3" s="11" t="s">
        <v>23</v>
      </c>
      <c r="E3" s="11" t="s">
        <v>86</v>
      </c>
      <c r="F3" s="11" t="s">
        <v>85</v>
      </c>
      <c r="G3" s="11"/>
      <c r="H3" s="11" t="s">
        <v>91</v>
      </c>
      <c r="I3" s="11" t="str">
        <f t="shared" ref="I3:I6" si="3">CONCATENATE("Anula o efeito de venenos ", " de qualidade ", D3, " ou inferior.")</f>
        <v>Anula o efeito de venenos  de qualidade Boa ou inferior.</v>
      </c>
      <c r="J3" s="11"/>
      <c r="K3" s="11">
        <v>60.0</v>
      </c>
      <c r="L3" s="11">
        <v>0.4</v>
      </c>
      <c r="M3" s="11" t="s">
        <v>88</v>
      </c>
      <c r="N3" s="11" t="s">
        <v>89</v>
      </c>
      <c r="O3" s="11" t="s">
        <v>90</v>
      </c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1" t="str">
        <f t="shared" si="2"/>
        <v>poison-002</v>
      </c>
      <c r="B4" s="11" t="s">
        <v>85</v>
      </c>
      <c r="C4" s="11" t="str">
        <f t="shared" si="1"/>
        <v>Antídoto | Superior</v>
      </c>
      <c r="D4" s="11" t="s">
        <v>25</v>
      </c>
      <c r="E4" s="11" t="s">
        <v>86</v>
      </c>
      <c r="F4" s="11" t="s">
        <v>85</v>
      </c>
      <c r="G4" s="11"/>
      <c r="H4" s="11" t="s">
        <v>92</v>
      </c>
      <c r="I4" s="11" t="str">
        <f t="shared" si="3"/>
        <v>Anula o efeito de venenos  de qualidade Superior ou inferior.</v>
      </c>
      <c r="J4" s="11"/>
      <c r="K4" s="11">
        <v>120.0</v>
      </c>
      <c r="L4" s="11">
        <v>0.3</v>
      </c>
      <c r="M4" s="11" t="s">
        <v>88</v>
      </c>
      <c r="N4" s="11" t="s">
        <v>89</v>
      </c>
      <c r="O4" s="11" t="s">
        <v>90</v>
      </c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1" t="str">
        <f t="shared" si="2"/>
        <v>poison-003</v>
      </c>
      <c r="B5" s="11" t="s">
        <v>85</v>
      </c>
      <c r="C5" s="11" t="str">
        <f t="shared" si="1"/>
        <v>Antídoto | Excelente</v>
      </c>
      <c r="D5" s="11" t="s">
        <v>27</v>
      </c>
      <c r="E5" s="11" t="s">
        <v>86</v>
      </c>
      <c r="F5" s="11" t="s">
        <v>85</v>
      </c>
      <c r="G5" s="11"/>
      <c r="H5" s="11" t="s">
        <v>93</v>
      </c>
      <c r="I5" s="11" t="str">
        <f t="shared" si="3"/>
        <v>Anula o efeito de venenos  de qualidade Excelente ou inferior.</v>
      </c>
      <c r="J5" s="11"/>
      <c r="K5" s="11">
        <v>240.0</v>
      </c>
      <c r="L5" s="11">
        <v>0.2</v>
      </c>
      <c r="M5" s="11" t="s">
        <v>88</v>
      </c>
      <c r="N5" s="11" t="s">
        <v>89</v>
      </c>
      <c r="O5" s="11" t="s">
        <v>90</v>
      </c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1" t="str">
        <f t="shared" si="2"/>
        <v>poison-004</v>
      </c>
      <c r="B6" s="11" t="s">
        <v>85</v>
      </c>
      <c r="C6" s="11" t="str">
        <f t="shared" si="1"/>
        <v>Antídoto | Obra-Prima</v>
      </c>
      <c r="D6" s="11" t="s">
        <v>29</v>
      </c>
      <c r="E6" s="11" t="s">
        <v>86</v>
      </c>
      <c r="F6" s="11" t="s">
        <v>85</v>
      </c>
      <c r="G6" s="11"/>
      <c r="H6" s="11" t="s">
        <v>94</v>
      </c>
      <c r="I6" s="11" t="str">
        <f t="shared" si="3"/>
        <v>Anula o efeito de venenos  de qualidade Obra-Prima ou inferior.</v>
      </c>
      <c r="J6" s="11"/>
      <c r="K6" s="11">
        <v>480.0</v>
      </c>
      <c r="L6" s="11">
        <v>0.1</v>
      </c>
      <c r="M6" s="11" t="s">
        <v>88</v>
      </c>
      <c r="N6" s="11"/>
      <c r="O6" s="11" t="s">
        <v>90</v>
      </c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1" t="str">
        <f t="shared" si="2"/>
        <v>poison-005</v>
      </c>
      <c r="B7" s="11" t="s">
        <v>95</v>
      </c>
      <c r="C7" s="11" t="str">
        <f t="shared" si="1"/>
        <v>Curare | Comum</v>
      </c>
      <c r="D7" s="11" t="s">
        <v>16</v>
      </c>
      <c r="E7" s="11" t="s">
        <v>86</v>
      </c>
      <c r="F7" s="11" t="s">
        <v>96</v>
      </c>
      <c r="G7" s="11"/>
      <c r="H7" s="11" t="s">
        <v>87</v>
      </c>
      <c r="I7" s="11" t="s">
        <v>97</v>
      </c>
      <c r="J7" s="11"/>
      <c r="K7" s="11">
        <v>300.0</v>
      </c>
      <c r="L7" s="11">
        <v>0.5</v>
      </c>
      <c r="M7" s="11" t="s">
        <v>98</v>
      </c>
      <c r="N7" s="11" t="s">
        <v>99</v>
      </c>
      <c r="O7" s="11" t="s">
        <v>100</v>
      </c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1" t="str">
        <f t="shared" si="2"/>
        <v>poison-006</v>
      </c>
      <c r="B8" s="11" t="s">
        <v>95</v>
      </c>
      <c r="C8" s="11" t="str">
        <f t="shared" si="1"/>
        <v>Curare | Boa</v>
      </c>
      <c r="D8" s="11" t="s">
        <v>23</v>
      </c>
      <c r="E8" s="11" t="s">
        <v>86</v>
      </c>
      <c r="F8" s="11" t="s">
        <v>96</v>
      </c>
      <c r="G8" s="11"/>
      <c r="H8" s="11" t="s">
        <v>91</v>
      </c>
      <c r="I8" s="11" t="s">
        <v>97</v>
      </c>
      <c r="J8" s="11"/>
      <c r="K8" s="11">
        <v>600.0</v>
      </c>
      <c r="L8" s="11">
        <v>0.4</v>
      </c>
      <c r="M8" s="11" t="s">
        <v>98</v>
      </c>
      <c r="N8" s="11" t="s">
        <v>101</v>
      </c>
      <c r="O8" s="11" t="s">
        <v>100</v>
      </c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1" t="str">
        <f t="shared" si="2"/>
        <v>poison-007</v>
      </c>
      <c r="B9" s="11" t="s">
        <v>95</v>
      </c>
      <c r="C9" s="11" t="str">
        <f t="shared" si="1"/>
        <v>Curare | Superior</v>
      </c>
      <c r="D9" s="11" t="s">
        <v>25</v>
      </c>
      <c r="E9" s="11" t="s">
        <v>86</v>
      </c>
      <c r="F9" s="11" t="s">
        <v>96</v>
      </c>
      <c r="G9" s="11"/>
      <c r="H9" s="11" t="s">
        <v>92</v>
      </c>
      <c r="I9" s="11" t="s">
        <v>97</v>
      </c>
      <c r="J9" s="11"/>
      <c r="K9" s="11">
        <v>900.0</v>
      </c>
      <c r="L9" s="11">
        <v>0.3</v>
      </c>
      <c r="M9" s="11" t="s">
        <v>98</v>
      </c>
      <c r="N9" s="11" t="s">
        <v>102</v>
      </c>
      <c r="O9" s="11" t="s">
        <v>100</v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1" t="str">
        <f t="shared" si="2"/>
        <v>poison-008</v>
      </c>
      <c r="B10" s="11" t="s">
        <v>95</v>
      </c>
      <c r="C10" s="11" t="str">
        <f t="shared" si="1"/>
        <v>Curare | Excelente</v>
      </c>
      <c r="D10" s="11" t="s">
        <v>27</v>
      </c>
      <c r="E10" s="11" t="s">
        <v>86</v>
      </c>
      <c r="F10" s="11" t="s">
        <v>96</v>
      </c>
      <c r="G10" s="11"/>
      <c r="H10" s="11" t="s">
        <v>93</v>
      </c>
      <c r="I10" s="11" t="s">
        <v>97</v>
      </c>
      <c r="J10" s="11"/>
      <c r="K10" s="11">
        <v>1200.0</v>
      </c>
      <c r="L10" s="11">
        <v>0.2</v>
      </c>
      <c r="M10" s="11" t="s">
        <v>98</v>
      </c>
      <c r="N10" s="11" t="s">
        <v>103</v>
      </c>
      <c r="O10" s="11" t="s">
        <v>100</v>
      </c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1" t="str">
        <f t="shared" si="2"/>
        <v>poison-009</v>
      </c>
      <c r="B11" s="11" t="s">
        <v>95</v>
      </c>
      <c r="C11" s="11" t="str">
        <f t="shared" si="1"/>
        <v>Curare | Obra-Prima</v>
      </c>
      <c r="D11" s="11" t="s">
        <v>29</v>
      </c>
      <c r="E11" s="11" t="s">
        <v>86</v>
      </c>
      <c r="F11" s="11" t="s">
        <v>96</v>
      </c>
      <c r="G11" s="11"/>
      <c r="H11" s="11" t="s">
        <v>94</v>
      </c>
      <c r="I11" s="11" t="s">
        <v>97</v>
      </c>
      <c r="J11" s="11"/>
      <c r="K11" s="11">
        <v>1500.0</v>
      </c>
      <c r="L11" s="11">
        <v>0.1</v>
      </c>
      <c r="M11" s="11" t="s">
        <v>98</v>
      </c>
      <c r="N11" s="11" t="s">
        <v>104</v>
      </c>
      <c r="O11" s="11" t="s">
        <v>100</v>
      </c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1" t="str">
        <f t="shared" si="2"/>
        <v>poison-010</v>
      </c>
      <c r="B12" s="11" t="s">
        <v>105</v>
      </c>
      <c r="C12" s="11" t="str">
        <f t="shared" si="1"/>
        <v>Areia de Morpheus | Comum</v>
      </c>
      <c r="D12" s="11" t="s">
        <v>16</v>
      </c>
      <c r="E12" s="11" t="s">
        <v>86</v>
      </c>
      <c r="F12" s="11" t="s">
        <v>96</v>
      </c>
      <c r="G12" s="11"/>
      <c r="H12" s="11" t="s">
        <v>106</v>
      </c>
      <c r="I12" s="11" t="s">
        <v>107</v>
      </c>
      <c r="J12" s="11"/>
      <c r="K12" s="11">
        <v>300.0</v>
      </c>
      <c r="L12" s="11">
        <v>0.5</v>
      </c>
      <c r="M12" s="11" t="s">
        <v>108</v>
      </c>
      <c r="N12" s="11" t="s">
        <v>109</v>
      </c>
      <c r="O12" s="11" t="s">
        <v>110</v>
      </c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1" t="str">
        <f t="shared" si="2"/>
        <v>poison-011</v>
      </c>
      <c r="B13" s="11" t="s">
        <v>105</v>
      </c>
      <c r="C13" s="11" t="str">
        <f t="shared" si="1"/>
        <v>Areia de Morpheus | Boa</v>
      </c>
      <c r="D13" s="11" t="s">
        <v>23</v>
      </c>
      <c r="E13" s="11" t="s">
        <v>86</v>
      </c>
      <c r="F13" s="11" t="s">
        <v>96</v>
      </c>
      <c r="G13" s="11"/>
      <c r="H13" s="11" t="s">
        <v>111</v>
      </c>
      <c r="I13" s="11" t="s">
        <v>107</v>
      </c>
      <c r="J13" s="11"/>
      <c r="K13" s="11">
        <v>600.0</v>
      </c>
      <c r="L13" s="11">
        <v>0.4</v>
      </c>
      <c r="M13" s="11" t="s">
        <v>108</v>
      </c>
      <c r="N13" s="11" t="s">
        <v>109</v>
      </c>
      <c r="O13" s="11" t="s">
        <v>110</v>
      </c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1" t="str">
        <f t="shared" si="2"/>
        <v>poison-012</v>
      </c>
      <c r="B14" s="11" t="s">
        <v>105</v>
      </c>
      <c r="C14" s="11" t="str">
        <f t="shared" si="1"/>
        <v>Areia de Morpheus | Superior</v>
      </c>
      <c r="D14" s="11" t="s">
        <v>25</v>
      </c>
      <c r="E14" s="11" t="s">
        <v>86</v>
      </c>
      <c r="F14" s="11" t="s">
        <v>96</v>
      </c>
      <c r="G14" s="11"/>
      <c r="H14" s="11" t="s">
        <v>112</v>
      </c>
      <c r="I14" s="11" t="s">
        <v>107</v>
      </c>
      <c r="J14" s="11"/>
      <c r="K14" s="11">
        <v>900.0</v>
      </c>
      <c r="L14" s="11">
        <v>0.3</v>
      </c>
      <c r="M14" s="11" t="s">
        <v>108</v>
      </c>
      <c r="N14" s="11" t="s">
        <v>109</v>
      </c>
      <c r="O14" s="11" t="s">
        <v>110</v>
      </c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1" t="str">
        <f t="shared" si="2"/>
        <v>poison-013</v>
      </c>
      <c r="B15" s="11" t="s">
        <v>105</v>
      </c>
      <c r="C15" s="11" t="str">
        <f t="shared" si="1"/>
        <v>Areia de Morpheus | Excelente</v>
      </c>
      <c r="D15" s="11" t="s">
        <v>27</v>
      </c>
      <c r="E15" s="11" t="s">
        <v>86</v>
      </c>
      <c r="F15" s="11" t="s">
        <v>96</v>
      </c>
      <c r="G15" s="11"/>
      <c r="H15" s="11" t="s">
        <v>113</v>
      </c>
      <c r="I15" s="11" t="s">
        <v>107</v>
      </c>
      <c r="J15" s="11"/>
      <c r="K15" s="11">
        <v>1200.0</v>
      </c>
      <c r="L15" s="11">
        <v>0.2</v>
      </c>
      <c r="M15" s="11" t="s">
        <v>108</v>
      </c>
      <c r="N15" s="11" t="s">
        <v>109</v>
      </c>
      <c r="O15" s="11" t="s">
        <v>110</v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1" t="str">
        <f t="shared" si="2"/>
        <v>poison-014</v>
      </c>
      <c r="B16" s="11" t="s">
        <v>105</v>
      </c>
      <c r="C16" s="11" t="str">
        <f t="shared" si="1"/>
        <v>Areia de Morpheus | Obra-Prima</v>
      </c>
      <c r="D16" s="11" t="s">
        <v>29</v>
      </c>
      <c r="E16" s="11" t="s">
        <v>86</v>
      </c>
      <c r="F16" s="11" t="s">
        <v>96</v>
      </c>
      <c r="G16" s="11"/>
      <c r="H16" s="11" t="s">
        <v>114</v>
      </c>
      <c r="I16" s="11" t="s">
        <v>107</v>
      </c>
      <c r="J16" s="11"/>
      <c r="K16" s="11">
        <v>1500.0</v>
      </c>
      <c r="L16" s="11">
        <v>0.1</v>
      </c>
      <c r="M16" s="11" t="s">
        <v>108</v>
      </c>
      <c r="N16" s="11" t="s">
        <v>109</v>
      </c>
      <c r="O16" s="11" t="s">
        <v>110</v>
      </c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1" t="str">
        <f t="shared" si="2"/>
        <v>poison-015</v>
      </c>
      <c r="B17" s="11" t="s">
        <v>115</v>
      </c>
      <c r="C17" s="11" t="str">
        <f t="shared" si="1"/>
        <v>Visgo Urticante | Comum</v>
      </c>
      <c r="D17" s="11" t="s">
        <v>16</v>
      </c>
      <c r="E17" s="11" t="s">
        <v>86</v>
      </c>
      <c r="F17" s="11" t="s">
        <v>96</v>
      </c>
      <c r="G17" s="11"/>
      <c r="H17" s="11" t="s">
        <v>116</v>
      </c>
      <c r="I17" s="11" t="s">
        <v>117</v>
      </c>
      <c r="J17" s="11"/>
      <c r="K17" s="11">
        <v>150.0</v>
      </c>
      <c r="L17" s="11">
        <v>0.5</v>
      </c>
      <c r="M17" s="11" t="s">
        <v>118</v>
      </c>
      <c r="N17" s="11" t="s">
        <v>119</v>
      </c>
      <c r="O17" s="11" t="s">
        <v>120</v>
      </c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1" t="str">
        <f t="shared" si="2"/>
        <v>poison-016</v>
      </c>
      <c r="B18" s="11" t="s">
        <v>115</v>
      </c>
      <c r="C18" s="11" t="str">
        <f t="shared" si="1"/>
        <v>Visgo Urticante | Boa</v>
      </c>
      <c r="D18" s="11" t="s">
        <v>23</v>
      </c>
      <c r="E18" s="11" t="s">
        <v>86</v>
      </c>
      <c r="F18" s="11" t="s">
        <v>96</v>
      </c>
      <c r="G18" s="11"/>
      <c r="H18" s="11" t="s">
        <v>121</v>
      </c>
      <c r="I18" s="11" t="s">
        <v>117</v>
      </c>
      <c r="J18" s="11"/>
      <c r="K18" s="11">
        <v>300.0</v>
      </c>
      <c r="L18" s="11">
        <v>0.4</v>
      </c>
      <c r="M18" s="11" t="s">
        <v>118</v>
      </c>
      <c r="N18" s="11" t="s">
        <v>122</v>
      </c>
      <c r="O18" s="11" t="s">
        <v>120</v>
      </c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1" t="str">
        <f t="shared" si="2"/>
        <v>poison-017</v>
      </c>
      <c r="B19" s="11" t="s">
        <v>115</v>
      </c>
      <c r="C19" s="11" t="str">
        <f t="shared" si="1"/>
        <v>Visgo Urticante | Superior</v>
      </c>
      <c r="D19" s="11" t="s">
        <v>25</v>
      </c>
      <c r="E19" s="11" t="s">
        <v>86</v>
      </c>
      <c r="F19" s="11" t="s">
        <v>96</v>
      </c>
      <c r="G19" s="11"/>
      <c r="H19" s="11" t="s">
        <v>123</v>
      </c>
      <c r="I19" s="11" t="s">
        <v>117</v>
      </c>
      <c r="J19" s="11"/>
      <c r="K19" s="11">
        <v>450.0</v>
      </c>
      <c r="L19" s="11">
        <v>0.3</v>
      </c>
      <c r="M19" s="11" t="s">
        <v>118</v>
      </c>
      <c r="N19" s="11" t="s">
        <v>124</v>
      </c>
      <c r="O19" s="11" t="s">
        <v>120</v>
      </c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1" t="str">
        <f t="shared" si="2"/>
        <v>poison-018</v>
      </c>
      <c r="B20" s="11" t="s">
        <v>115</v>
      </c>
      <c r="C20" s="11" t="str">
        <f t="shared" si="1"/>
        <v>Visgo Urticante | Excelente</v>
      </c>
      <c r="D20" s="11" t="s">
        <v>27</v>
      </c>
      <c r="E20" s="11" t="s">
        <v>86</v>
      </c>
      <c r="F20" s="11" t="s">
        <v>96</v>
      </c>
      <c r="G20" s="11"/>
      <c r="H20" s="11" t="s">
        <v>125</v>
      </c>
      <c r="I20" s="11" t="s">
        <v>117</v>
      </c>
      <c r="J20" s="11"/>
      <c r="K20" s="11">
        <v>600.0</v>
      </c>
      <c r="L20" s="11">
        <v>0.2</v>
      </c>
      <c r="M20" s="11" t="s">
        <v>118</v>
      </c>
      <c r="N20" s="11" t="s">
        <v>126</v>
      </c>
      <c r="O20" s="11" t="s">
        <v>120</v>
      </c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1" t="str">
        <f t="shared" si="2"/>
        <v>poison-019</v>
      </c>
      <c r="B21" s="11" t="s">
        <v>115</v>
      </c>
      <c r="C21" s="11" t="str">
        <f t="shared" si="1"/>
        <v>Visgo Urticante | Obra-Prima</v>
      </c>
      <c r="D21" s="11" t="s">
        <v>29</v>
      </c>
      <c r="E21" s="11" t="s">
        <v>86</v>
      </c>
      <c r="F21" s="11" t="s">
        <v>96</v>
      </c>
      <c r="G21" s="11"/>
      <c r="H21" s="11" t="s">
        <v>127</v>
      </c>
      <c r="I21" s="11" t="s">
        <v>117</v>
      </c>
      <c r="J21" s="11"/>
      <c r="K21" s="11">
        <v>750.0</v>
      </c>
      <c r="L21" s="11">
        <v>0.1</v>
      </c>
      <c r="M21" s="11" t="s">
        <v>118</v>
      </c>
      <c r="N21" s="11" t="s">
        <v>128</v>
      </c>
      <c r="O21" s="11" t="s">
        <v>120</v>
      </c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1" t="str">
        <f t="shared" si="2"/>
        <v>poison-020</v>
      </c>
      <c r="B22" s="11" t="s">
        <v>129</v>
      </c>
      <c r="C22" s="11" t="str">
        <f t="shared" si="1"/>
        <v>Véu da Noite | Comum</v>
      </c>
      <c r="D22" s="11" t="s">
        <v>16</v>
      </c>
      <c r="E22" s="11" t="s">
        <v>86</v>
      </c>
      <c r="F22" s="11" t="s">
        <v>96</v>
      </c>
      <c r="G22" s="11"/>
      <c r="H22" s="11" t="s">
        <v>116</v>
      </c>
      <c r="I22" s="11" t="s">
        <v>130</v>
      </c>
      <c r="J22" s="11"/>
      <c r="K22" s="11">
        <v>300.0</v>
      </c>
      <c r="L22" s="11">
        <v>0.5</v>
      </c>
      <c r="M22" s="11" t="s">
        <v>131</v>
      </c>
      <c r="N22" s="11" t="s">
        <v>132</v>
      </c>
      <c r="O22" s="11" t="s">
        <v>133</v>
      </c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1" t="str">
        <f t="shared" si="2"/>
        <v>poison-021</v>
      </c>
      <c r="B23" s="11" t="s">
        <v>129</v>
      </c>
      <c r="C23" s="11" t="str">
        <f t="shared" si="1"/>
        <v>Véu da Noite | Boa</v>
      </c>
      <c r="D23" s="11" t="s">
        <v>23</v>
      </c>
      <c r="E23" s="11" t="s">
        <v>86</v>
      </c>
      <c r="F23" s="11" t="s">
        <v>96</v>
      </c>
      <c r="G23" s="11"/>
      <c r="H23" s="11" t="s">
        <v>121</v>
      </c>
      <c r="I23" s="11" t="s">
        <v>130</v>
      </c>
      <c r="J23" s="11"/>
      <c r="K23" s="11">
        <v>600.0</v>
      </c>
      <c r="L23" s="11">
        <v>0.4</v>
      </c>
      <c r="M23" s="11" t="s">
        <v>131</v>
      </c>
      <c r="N23" s="11" t="s">
        <v>134</v>
      </c>
      <c r="O23" s="11" t="s">
        <v>133</v>
      </c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1" t="str">
        <f t="shared" si="2"/>
        <v>poison-022</v>
      </c>
      <c r="B24" s="11" t="s">
        <v>129</v>
      </c>
      <c r="C24" s="11" t="str">
        <f t="shared" si="1"/>
        <v>Véu da Noite | Superior</v>
      </c>
      <c r="D24" s="11" t="s">
        <v>25</v>
      </c>
      <c r="E24" s="11" t="s">
        <v>86</v>
      </c>
      <c r="F24" s="11" t="s">
        <v>96</v>
      </c>
      <c r="G24" s="11"/>
      <c r="H24" s="11" t="s">
        <v>123</v>
      </c>
      <c r="I24" s="11" t="s">
        <v>130</v>
      </c>
      <c r="J24" s="11"/>
      <c r="K24" s="11">
        <v>900.0</v>
      </c>
      <c r="L24" s="11">
        <v>0.3</v>
      </c>
      <c r="M24" s="11" t="s">
        <v>131</v>
      </c>
      <c r="N24" s="11" t="s">
        <v>135</v>
      </c>
      <c r="O24" s="11" t="s">
        <v>133</v>
      </c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1" t="str">
        <f t="shared" si="2"/>
        <v>poison-023</v>
      </c>
      <c r="B25" s="11" t="s">
        <v>129</v>
      </c>
      <c r="C25" s="11" t="str">
        <f t="shared" si="1"/>
        <v>Véu da Noite | Excelente</v>
      </c>
      <c r="D25" s="11" t="s">
        <v>27</v>
      </c>
      <c r="E25" s="11" t="s">
        <v>86</v>
      </c>
      <c r="F25" s="11" t="s">
        <v>96</v>
      </c>
      <c r="G25" s="11"/>
      <c r="H25" s="11" t="s">
        <v>125</v>
      </c>
      <c r="I25" s="11" t="s">
        <v>130</v>
      </c>
      <c r="J25" s="11"/>
      <c r="K25" s="11">
        <v>1200.0</v>
      </c>
      <c r="L25" s="11">
        <v>0.2</v>
      </c>
      <c r="M25" s="11" t="s">
        <v>131</v>
      </c>
      <c r="N25" s="11" t="s">
        <v>136</v>
      </c>
      <c r="O25" s="11" t="s">
        <v>133</v>
      </c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1" t="str">
        <f t="shared" si="2"/>
        <v>poison-024</v>
      </c>
      <c r="B26" s="11" t="s">
        <v>129</v>
      </c>
      <c r="C26" s="11" t="str">
        <f t="shared" si="1"/>
        <v>Véu da Noite | Obra-Prima</v>
      </c>
      <c r="D26" s="11" t="s">
        <v>29</v>
      </c>
      <c r="E26" s="11" t="s">
        <v>86</v>
      </c>
      <c r="F26" s="11" t="s">
        <v>96</v>
      </c>
      <c r="G26" s="11"/>
      <c r="H26" s="11" t="s">
        <v>127</v>
      </c>
      <c r="I26" s="11" t="s">
        <v>130</v>
      </c>
      <c r="J26" s="11"/>
      <c r="K26" s="11">
        <v>1500.0</v>
      </c>
      <c r="L26" s="11">
        <v>0.1</v>
      </c>
      <c r="M26" s="11" t="s">
        <v>131</v>
      </c>
      <c r="N26" s="11" t="s">
        <v>137</v>
      </c>
      <c r="O26" s="11" t="s">
        <v>133</v>
      </c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1" t="str">
        <f t="shared" si="2"/>
        <v>poison-025</v>
      </c>
      <c r="B27" s="11" t="s">
        <v>138</v>
      </c>
      <c r="C27" s="11" t="str">
        <f t="shared" si="1"/>
        <v>Hera Venenosa | Comum</v>
      </c>
      <c r="D27" s="11" t="s">
        <v>16</v>
      </c>
      <c r="E27" s="11" t="s">
        <v>86</v>
      </c>
      <c r="F27" s="11" t="s">
        <v>139</v>
      </c>
      <c r="G27" s="11"/>
      <c r="H27" s="11" t="s">
        <v>140</v>
      </c>
      <c r="I27" s="11" t="s">
        <v>141</v>
      </c>
      <c r="J27" s="11"/>
      <c r="K27" s="11">
        <v>150.0</v>
      </c>
      <c r="L27" s="11">
        <v>0.5</v>
      </c>
      <c r="M27" s="11" t="s">
        <v>142</v>
      </c>
      <c r="N27" s="11" t="s">
        <v>143</v>
      </c>
      <c r="O27" s="11" t="s">
        <v>100</v>
      </c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1" t="str">
        <f t="shared" si="2"/>
        <v>poison-026</v>
      </c>
      <c r="B28" s="11" t="s">
        <v>138</v>
      </c>
      <c r="C28" s="11" t="str">
        <f t="shared" si="1"/>
        <v>Hera Venenosa | Boa</v>
      </c>
      <c r="D28" s="11" t="s">
        <v>23</v>
      </c>
      <c r="E28" s="11" t="s">
        <v>86</v>
      </c>
      <c r="F28" s="11" t="s">
        <v>139</v>
      </c>
      <c r="G28" s="11"/>
      <c r="H28" s="11" t="s">
        <v>140</v>
      </c>
      <c r="I28" s="11" t="s">
        <v>144</v>
      </c>
      <c r="J28" s="11"/>
      <c r="K28" s="11">
        <v>300.0</v>
      </c>
      <c r="L28" s="11">
        <v>0.4</v>
      </c>
      <c r="M28" s="11" t="s">
        <v>145</v>
      </c>
      <c r="N28" s="11" t="s">
        <v>146</v>
      </c>
      <c r="O28" s="11" t="s">
        <v>100</v>
      </c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1" t="str">
        <f t="shared" si="2"/>
        <v>poison-027</v>
      </c>
      <c r="B29" s="11" t="s">
        <v>138</v>
      </c>
      <c r="C29" s="11" t="str">
        <f t="shared" si="1"/>
        <v>Hera Venenosa | Superior</v>
      </c>
      <c r="D29" s="11" t="s">
        <v>25</v>
      </c>
      <c r="E29" s="11" t="s">
        <v>86</v>
      </c>
      <c r="F29" s="11" t="s">
        <v>139</v>
      </c>
      <c r="G29" s="11"/>
      <c r="H29" s="11" t="s">
        <v>140</v>
      </c>
      <c r="I29" s="11" t="s">
        <v>147</v>
      </c>
      <c r="J29" s="11"/>
      <c r="K29" s="11">
        <v>450.0</v>
      </c>
      <c r="L29" s="11">
        <v>0.3</v>
      </c>
      <c r="M29" s="11" t="s">
        <v>145</v>
      </c>
      <c r="N29" s="11" t="s">
        <v>148</v>
      </c>
      <c r="O29" s="11" t="s">
        <v>100</v>
      </c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1" t="str">
        <f t="shared" si="2"/>
        <v>poison-028</v>
      </c>
      <c r="B30" s="11" t="s">
        <v>138</v>
      </c>
      <c r="C30" s="11" t="str">
        <f t="shared" si="1"/>
        <v>Hera Venenosa | Excelente</v>
      </c>
      <c r="D30" s="11" t="s">
        <v>27</v>
      </c>
      <c r="E30" s="11" t="s">
        <v>86</v>
      </c>
      <c r="F30" s="11" t="s">
        <v>139</v>
      </c>
      <c r="G30" s="11"/>
      <c r="H30" s="11" t="s">
        <v>140</v>
      </c>
      <c r="I30" s="11" t="s">
        <v>149</v>
      </c>
      <c r="J30" s="11"/>
      <c r="K30" s="11">
        <v>600.0</v>
      </c>
      <c r="L30" s="11">
        <v>0.2</v>
      </c>
      <c r="M30" s="11" t="s">
        <v>145</v>
      </c>
      <c r="N30" s="11" t="s">
        <v>150</v>
      </c>
      <c r="O30" s="11" t="s">
        <v>100</v>
      </c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1" t="str">
        <f t="shared" si="2"/>
        <v>poison-029</v>
      </c>
      <c r="B31" s="11" t="s">
        <v>138</v>
      </c>
      <c r="C31" s="11" t="str">
        <f t="shared" si="1"/>
        <v>Hera Venenosa | Obra-Prima</v>
      </c>
      <c r="D31" s="11" t="s">
        <v>29</v>
      </c>
      <c r="E31" s="11" t="s">
        <v>86</v>
      </c>
      <c r="F31" s="11" t="s">
        <v>139</v>
      </c>
      <c r="G31" s="11"/>
      <c r="H31" s="11" t="s">
        <v>140</v>
      </c>
      <c r="I31" s="11" t="s">
        <v>151</v>
      </c>
      <c r="J31" s="11"/>
      <c r="K31" s="11">
        <v>750.0</v>
      </c>
      <c r="L31" s="11">
        <v>0.1</v>
      </c>
      <c r="M31" s="11" t="s">
        <v>145</v>
      </c>
      <c r="N31" s="11" t="s">
        <v>152</v>
      </c>
      <c r="O31" s="11" t="s">
        <v>100</v>
      </c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11.57"/>
    <col customWidth="1" min="3" max="3" width="17.0"/>
    <col customWidth="1" min="4" max="4" width="10.43"/>
    <col customWidth="1" min="5" max="5" width="11.0"/>
    <col customWidth="1" min="6" max="6" width="15.14"/>
    <col customWidth="1" hidden="1" min="7" max="7" width="23.29"/>
    <col customWidth="1" min="8" max="8" width="13.29"/>
    <col customWidth="1" min="9" max="9" width="18.43"/>
    <col customWidth="1" min="10" max="10" width="12.57"/>
    <col customWidth="1" min="11" max="11" width="11.29"/>
    <col customWidth="1" min="12" max="12" width="12.29"/>
    <col customWidth="1" min="13" max="13" width="58.71"/>
    <col customWidth="1" min="14" max="14" width="47.29"/>
    <col customWidth="1" min="15" max="26" width="8.71"/>
  </cols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1" t="s">
        <v>153</v>
      </c>
      <c r="B2" s="11" t="s">
        <v>154</v>
      </c>
      <c r="C2" s="11" t="str">
        <f t="shared" ref="C2:C41" si="1">CONCATENATE(B2," | ",D2)</f>
        <v>Elixir do Touro | Comum</v>
      </c>
      <c r="D2" s="11" t="s">
        <v>16</v>
      </c>
      <c r="E2" s="11" t="s">
        <v>155</v>
      </c>
      <c r="F2" s="11" t="s">
        <v>156</v>
      </c>
      <c r="G2" s="11"/>
      <c r="H2" s="11" t="s">
        <v>112</v>
      </c>
      <c r="I2" s="11" t="s">
        <v>157</v>
      </c>
      <c r="J2" s="11">
        <v>20.0</v>
      </c>
      <c r="K2" s="11">
        <v>200.0</v>
      </c>
      <c r="L2" s="11">
        <v>0.8</v>
      </c>
      <c r="M2" s="11" t="s">
        <v>158</v>
      </c>
      <c r="N2" s="11" t="s">
        <v>159</v>
      </c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1" t="str">
        <f t="shared" ref="A3:A41" si="2">LEFT(A2,FIND("-",A2)) &amp; TEXT(VALUE(MID(A2,FIND("-",A2)+1,99)) + 1,"000")</f>
        <v>elixir-001</v>
      </c>
      <c r="B3" s="11" t="s">
        <v>154</v>
      </c>
      <c r="C3" s="11" t="str">
        <f t="shared" si="1"/>
        <v>Elixir do Touro | Boa</v>
      </c>
      <c r="D3" s="11" t="s">
        <v>23</v>
      </c>
      <c r="E3" s="11" t="s">
        <v>155</v>
      </c>
      <c r="F3" s="11" t="s">
        <v>156</v>
      </c>
      <c r="G3" s="11"/>
      <c r="H3" s="11" t="s">
        <v>160</v>
      </c>
      <c r="I3" s="11" t="s">
        <v>157</v>
      </c>
      <c r="J3" s="11">
        <v>16.0</v>
      </c>
      <c r="K3" s="11">
        <v>400.0</v>
      </c>
      <c r="L3" s="11">
        <v>0.7</v>
      </c>
      <c r="M3" s="11" t="s">
        <v>158</v>
      </c>
      <c r="N3" s="11" t="s">
        <v>161</v>
      </c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1" t="str">
        <f t="shared" si="2"/>
        <v>elixir-002</v>
      </c>
      <c r="B4" s="11" t="s">
        <v>154</v>
      </c>
      <c r="C4" s="11" t="str">
        <f t="shared" si="1"/>
        <v>Elixir do Touro | Superior</v>
      </c>
      <c r="D4" s="11" t="s">
        <v>25</v>
      </c>
      <c r="E4" s="11" t="s">
        <v>155</v>
      </c>
      <c r="F4" s="11" t="s">
        <v>156</v>
      </c>
      <c r="G4" s="11"/>
      <c r="H4" s="11" t="s">
        <v>162</v>
      </c>
      <c r="I4" s="11" t="s">
        <v>157</v>
      </c>
      <c r="J4" s="11">
        <v>12.0</v>
      </c>
      <c r="K4" s="11">
        <v>800.0</v>
      </c>
      <c r="L4" s="11">
        <v>0.6</v>
      </c>
      <c r="M4" s="11" t="s">
        <v>158</v>
      </c>
      <c r="N4" s="11" t="s">
        <v>163</v>
      </c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1" t="str">
        <f t="shared" si="2"/>
        <v>elixir-003</v>
      </c>
      <c r="B5" s="11" t="s">
        <v>154</v>
      </c>
      <c r="C5" s="11" t="str">
        <f t="shared" si="1"/>
        <v>Elixir do Touro | Excelente</v>
      </c>
      <c r="D5" s="11" t="s">
        <v>27</v>
      </c>
      <c r="E5" s="11" t="s">
        <v>155</v>
      </c>
      <c r="F5" s="11" t="s">
        <v>156</v>
      </c>
      <c r="G5" s="11"/>
      <c r="H5" s="11" t="s">
        <v>164</v>
      </c>
      <c r="I5" s="11" t="s">
        <v>157</v>
      </c>
      <c r="J5" s="11">
        <v>8.0</v>
      </c>
      <c r="K5" s="11">
        <v>1600.0</v>
      </c>
      <c r="L5" s="11">
        <v>0.5</v>
      </c>
      <c r="M5" s="11" t="s">
        <v>158</v>
      </c>
      <c r="N5" s="11" t="s">
        <v>165</v>
      </c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1" t="str">
        <f t="shared" si="2"/>
        <v>elixir-004</v>
      </c>
      <c r="B6" s="11" t="s">
        <v>154</v>
      </c>
      <c r="C6" s="11" t="str">
        <f t="shared" si="1"/>
        <v>Elixir do Touro | Obra-Prima</v>
      </c>
      <c r="D6" s="11" t="s">
        <v>29</v>
      </c>
      <c r="E6" s="11" t="s">
        <v>155</v>
      </c>
      <c r="F6" s="11" t="s">
        <v>156</v>
      </c>
      <c r="G6" s="11"/>
      <c r="H6" s="11" t="s">
        <v>166</v>
      </c>
      <c r="I6" s="11" t="s">
        <v>167</v>
      </c>
      <c r="J6" s="11">
        <v>4.0</v>
      </c>
      <c r="K6" s="11">
        <v>3200.0</v>
      </c>
      <c r="L6" s="11">
        <v>0.4</v>
      </c>
      <c r="M6" s="11" t="s">
        <v>158</v>
      </c>
      <c r="N6" s="11" t="s">
        <v>168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1" t="str">
        <f t="shared" si="2"/>
        <v>elixir-005</v>
      </c>
      <c r="B7" s="11" t="s">
        <v>169</v>
      </c>
      <c r="C7" s="11" t="str">
        <f t="shared" si="1"/>
        <v>Elixir da Coruja | Comum</v>
      </c>
      <c r="D7" s="11" t="s">
        <v>16</v>
      </c>
      <c r="E7" s="11" t="s">
        <v>155</v>
      </c>
      <c r="F7" s="11" t="s">
        <v>156</v>
      </c>
      <c r="G7" s="12"/>
      <c r="H7" s="11" t="s">
        <v>112</v>
      </c>
      <c r="I7" s="11" t="s">
        <v>170</v>
      </c>
      <c r="J7" s="11">
        <v>20.0</v>
      </c>
      <c r="K7" s="11">
        <v>200.0</v>
      </c>
      <c r="L7" s="11">
        <v>0.8</v>
      </c>
      <c r="M7" s="6" t="s">
        <v>171</v>
      </c>
      <c r="N7" s="11" t="s">
        <v>172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1" t="str">
        <f t="shared" si="2"/>
        <v>elixir-006</v>
      </c>
      <c r="B8" s="11" t="s">
        <v>169</v>
      </c>
      <c r="C8" s="11" t="str">
        <f t="shared" si="1"/>
        <v>Elixir da Coruja | Boa</v>
      </c>
      <c r="D8" s="11" t="s">
        <v>23</v>
      </c>
      <c r="E8" s="11" t="s">
        <v>155</v>
      </c>
      <c r="F8" s="11" t="s">
        <v>156</v>
      </c>
      <c r="G8" s="12"/>
      <c r="H8" s="11" t="s">
        <v>160</v>
      </c>
      <c r="I8" s="11" t="s">
        <v>170</v>
      </c>
      <c r="J8" s="11">
        <v>16.0</v>
      </c>
      <c r="K8" s="11">
        <v>400.0</v>
      </c>
      <c r="L8" s="11">
        <v>0.7</v>
      </c>
      <c r="M8" s="6" t="s">
        <v>171</v>
      </c>
      <c r="N8" s="11" t="s">
        <v>173</v>
      </c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1" t="str">
        <f t="shared" si="2"/>
        <v>elixir-007</v>
      </c>
      <c r="B9" s="11" t="s">
        <v>169</v>
      </c>
      <c r="C9" s="11" t="str">
        <f t="shared" si="1"/>
        <v>Elixir da Coruja | Superior</v>
      </c>
      <c r="D9" s="11" t="s">
        <v>25</v>
      </c>
      <c r="E9" s="11" t="s">
        <v>155</v>
      </c>
      <c r="F9" s="11" t="s">
        <v>156</v>
      </c>
      <c r="G9" s="12"/>
      <c r="H9" s="11" t="s">
        <v>162</v>
      </c>
      <c r="I9" s="11" t="s">
        <v>170</v>
      </c>
      <c r="J9" s="11">
        <v>12.0</v>
      </c>
      <c r="K9" s="11">
        <v>800.0</v>
      </c>
      <c r="L9" s="11">
        <v>0.6</v>
      </c>
      <c r="M9" s="6" t="s">
        <v>171</v>
      </c>
      <c r="N9" s="11" t="s">
        <v>174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1" t="str">
        <f t="shared" si="2"/>
        <v>elixir-008</v>
      </c>
      <c r="B10" s="11" t="s">
        <v>169</v>
      </c>
      <c r="C10" s="11" t="str">
        <f t="shared" si="1"/>
        <v>Elixir da Coruja | Excelente</v>
      </c>
      <c r="D10" s="11" t="s">
        <v>27</v>
      </c>
      <c r="E10" s="11" t="s">
        <v>155</v>
      </c>
      <c r="F10" s="11" t="s">
        <v>156</v>
      </c>
      <c r="G10" s="12"/>
      <c r="H10" s="11" t="s">
        <v>164</v>
      </c>
      <c r="I10" s="11" t="s">
        <v>170</v>
      </c>
      <c r="J10" s="11">
        <v>8.0</v>
      </c>
      <c r="K10" s="11">
        <v>1600.0</v>
      </c>
      <c r="L10" s="11">
        <v>0.5</v>
      </c>
      <c r="M10" s="6" t="s">
        <v>171</v>
      </c>
      <c r="N10" s="11" t="s">
        <v>175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1" t="str">
        <f t="shared" si="2"/>
        <v>elixir-009</v>
      </c>
      <c r="B11" s="11" t="s">
        <v>169</v>
      </c>
      <c r="C11" s="11" t="str">
        <f t="shared" si="1"/>
        <v>Elixir da Coruja | Obra-Prima</v>
      </c>
      <c r="D11" s="11" t="s">
        <v>29</v>
      </c>
      <c r="E11" s="11" t="s">
        <v>155</v>
      </c>
      <c r="F11" s="11" t="s">
        <v>156</v>
      </c>
      <c r="G11" s="12"/>
      <c r="H11" s="11" t="s">
        <v>166</v>
      </c>
      <c r="I11" s="11" t="s">
        <v>176</v>
      </c>
      <c r="J11" s="11">
        <v>4.0</v>
      </c>
      <c r="K11" s="11">
        <v>3200.0</v>
      </c>
      <c r="L11" s="11">
        <v>0.4</v>
      </c>
      <c r="M11" s="6" t="s">
        <v>171</v>
      </c>
      <c r="N11" s="11" t="s">
        <v>177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1" t="str">
        <f t="shared" si="2"/>
        <v>elixir-010</v>
      </c>
      <c r="B12" s="11" t="s">
        <v>178</v>
      </c>
      <c r="C12" s="11" t="str">
        <f t="shared" si="1"/>
        <v>Elixir da Raposa | Comum</v>
      </c>
      <c r="D12" s="11" t="s">
        <v>16</v>
      </c>
      <c r="E12" s="11" t="s">
        <v>155</v>
      </c>
      <c r="F12" s="11" t="s">
        <v>156</v>
      </c>
      <c r="G12" s="12"/>
      <c r="H12" s="11" t="s">
        <v>112</v>
      </c>
      <c r="I12" s="11" t="s">
        <v>179</v>
      </c>
      <c r="J12" s="11">
        <v>20.0</v>
      </c>
      <c r="K12" s="11">
        <v>200.0</v>
      </c>
      <c r="L12" s="11">
        <v>0.8</v>
      </c>
      <c r="M12" s="6" t="s">
        <v>180</v>
      </c>
      <c r="N12" s="11" t="s">
        <v>181</v>
      </c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1" t="str">
        <f t="shared" si="2"/>
        <v>elixir-011</v>
      </c>
      <c r="B13" s="11" t="s">
        <v>178</v>
      </c>
      <c r="C13" s="11" t="str">
        <f t="shared" si="1"/>
        <v>Elixir da Raposa | Boa</v>
      </c>
      <c r="D13" s="11" t="s">
        <v>23</v>
      </c>
      <c r="E13" s="11" t="s">
        <v>155</v>
      </c>
      <c r="F13" s="11" t="s">
        <v>156</v>
      </c>
      <c r="G13" s="12"/>
      <c r="H13" s="11" t="s">
        <v>160</v>
      </c>
      <c r="I13" s="11" t="s">
        <v>179</v>
      </c>
      <c r="J13" s="11">
        <v>16.0</v>
      </c>
      <c r="K13" s="11">
        <v>400.0</v>
      </c>
      <c r="L13" s="11">
        <v>0.7</v>
      </c>
      <c r="M13" s="6" t="s">
        <v>180</v>
      </c>
      <c r="N13" s="11" t="s">
        <v>182</v>
      </c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1" t="str">
        <f t="shared" si="2"/>
        <v>elixir-012</v>
      </c>
      <c r="B14" s="11" t="s">
        <v>178</v>
      </c>
      <c r="C14" s="11" t="str">
        <f t="shared" si="1"/>
        <v>Elixir da Raposa | Superior</v>
      </c>
      <c r="D14" s="11" t="s">
        <v>25</v>
      </c>
      <c r="E14" s="11" t="s">
        <v>155</v>
      </c>
      <c r="F14" s="11" t="s">
        <v>156</v>
      </c>
      <c r="G14" s="12"/>
      <c r="H14" s="11" t="s">
        <v>162</v>
      </c>
      <c r="I14" s="11" t="s">
        <v>179</v>
      </c>
      <c r="J14" s="11">
        <v>12.0</v>
      </c>
      <c r="K14" s="11">
        <v>800.0</v>
      </c>
      <c r="L14" s="11">
        <v>0.6</v>
      </c>
      <c r="M14" s="6" t="s">
        <v>180</v>
      </c>
      <c r="N14" s="11" t="s">
        <v>183</v>
      </c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1" t="str">
        <f t="shared" si="2"/>
        <v>elixir-013</v>
      </c>
      <c r="B15" s="11" t="s">
        <v>178</v>
      </c>
      <c r="C15" s="11" t="str">
        <f t="shared" si="1"/>
        <v>Elixir da Raposa | Excelente</v>
      </c>
      <c r="D15" s="11" t="s">
        <v>27</v>
      </c>
      <c r="E15" s="11" t="s">
        <v>155</v>
      </c>
      <c r="F15" s="11" t="s">
        <v>156</v>
      </c>
      <c r="G15" s="12"/>
      <c r="H15" s="11" t="s">
        <v>164</v>
      </c>
      <c r="I15" s="11" t="s">
        <v>179</v>
      </c>
      <c r="J15" s="11">
        <v>8.0</v>
      </c>
      <c r="K15" s="11">
        <v>1600.0</v>
      </c>
      <c r="L15" s="11">
        <v>0.5</v>
      </c>
      <c r="M15" s="6" t="s">
        <v>180</v>
      </c>
      <c r="N15" s="11" t="s">
        <v>184</v>
      </c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1" t="str">
        <f t="shared" si="2"/>
        <v>elixir-014</v>
      </c>
      <c r="B16" s="11" t="s">
        <v>178</v>
      </c>
      <c r="C16" s="11" t="str">
        <f t="shared" si="1"/>
        <v>Elixir da Raposa | Obra-Prima</v>
      </c>
      <c r="D16" s="11" t="s">
        <v>29</v>
      </c>
      <c r="E16" s="11" t="s">
        <v>155</v>
      </c>
      <c r="F16" s="11" t="s">
        <v>156</v>
      </c>
      <c r="G16" s="12"/>
      <c r="H16" s="11" t="s">
        <v>166</v>
      </c>
      <c r="I16" s="11" t="s">
        <v>185</v>
      </c>
      <c r="J16" s="11">
        <v>4.0</v>
      </c>
      <c r="K16" s="11">
        <v>3200.0</v>
      </c>
      <c r="L16" s="11">
        <v>0.4</v>
      </c>
      <c r="M16" s="6" t="s">
        <v>180</v>
      </c>
      <c r="N16" s="11" t="s">
        <v>186</v>
      </c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1" t="str">
        <f t="shared" si="2"/>
        <v>elixir-015</v>
      </c>
      <c r="B17" s="11" t="s">
        <v>187</v>
      </c>
      <c r="C17" s="11" t="str">
        <f t="shared" si="1"/>
        <v>Elixir do Urso | Comum</v>
      </c>
      <c r="D17" s="11" t="s">
        <v>16</v>
      </c>
      <c r="E17" s="11" t="s">
        <v>155</v>
      </c>
      <c r="F17" s="11" t="s">
        <v>156</v>
      </c>
      <c r="G17" s="12"/>
      <c r="H17" s="11" t="s">
        <v>112</v>
      </c>
      <c r="I17" s="11" t="s">
        <v>188</v>
      </c>
      <c r="J17" s="11">
        <v>20.0</v>
      </c>
      <c r="K17" s="11">
        <v>200.0</v>
      </c>
      <c r="L17" s="11">
        <v>0.8</v>
      </c>
      <c r="M17" s="6" t="s">
        <v>189</v>
      </c>
      <c r="N17" s="11" t="s">
        <v>190</v>
      </c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1" t="str">
        <f t="shared" si="2"/>
        <v>elixir-016</v>
      </c>
      <c r="B18" s="11" t="s">
        <v>187</v>
      </c>
      <c r="C18" s="11" t="str">
        <f t="shared" si="1"/>
        <v>Elixir do Urso | Boa</v>
      </c>
      <c r="D18" s="11" t="s">
        <v>23</v>
      </c>
      <c r="E18" s="11" t="s">
        <v>155</v>
      </c>
      <c r="F18" s="11" t="s">
        <v>156</v>
      </c>
      <c r="G18" s="12"/>
      <c r="H18" s="11" t="s">
        <v>160</v>
      </c>
      <c r="I18" s="11" t="s">
        <v>188</v>
      </c>
      <c r="J18" s="11">
        <v>16.0</v>
      </c>
      <c r="K18" s="11">
        <v>400.0</v>
      </c>
      <c r="L18" s="11">
        <v>0.7</v>
      </c>
      <c r="M18" s="6" t="s">
        <v>189</v>
      </c>
      <c r="N18" s="11" t="s">
        <v>191</v>
      </c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1" t="str">
        <f t="shared" si="2"/>
        <v>elixir-017</v>
      </c>
      <c r="B19" s="11" t="s">
        <v>187</v>
      </c>
      <c r="C19" s="11" t="str">
        <f t="shared" si="1"/>
        <v>Elixir do Urso | Superior</v>
      </c>
      <c r="D19" s="11" t="s">
        <v>25</v>
      </c>
      <c r="E19" s="11" t="s">
        <v>155</v>
      </c>
      <c r="F19" s="11" t="s">
        <v>156</v>
      </c>
      <c r="G19" s="12"/>
      <c r="H19" s="11" t="s">
        <v>162</v>
      </c>
      <c r="I19" s="11" t="s">
        <v>188</v>
      </c>
      <c r="J19" s="11">
        <v>12.0</v>
      </c>
      <c r="K19" s="11">
        <v>800.0</v>
      </c>
      <c r="L19" s="11">
        <v>0.6</v>
      </c>
      <c r="M19" s="6" t="s">
        <v>189</v>
      </c>
      <c r="N19" s="11" t="s">
        <v>192</v>
      </c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1" t="str">
        <f t="shared" si="2"/>
        <v>elixir-018</v>
      </c>
      <c r="B20" s="11" t="s">
        <v>187</v>
      </c>
      <c r="C20" s="11" t="str">
        <f t="shared" si="1"/>
        <v>Elixir do Urso | Excelente</v>
      </c>
      <c r="D20" s="11" t="s">
        <v>27</v>
      </c>
      <c r="E20" s="11" t="s">
        <v>155</v>
      </c>
      <c r="F20" s="11" t="s">
        <v>156</v>
      </c>
      <c r="G20" s="12"/>
      <c r="H20" s="11" t="s">
        <v>164</v>
      </c>
      <c r="I20" s="11" t="s">
        <v>188</v>
      </c>
      <c r="J20" s="11">
        <v>8.0</v>
      </c>
      <c r="K20" s="11">
        <v>1600.0</v>
      </c>
      <c r="L20" s="11">
        <v>0.5</v>
      </c>
      <c r="M20" s="6" t="s">
        <v>189</v>
      </c>
      <c r="N20" s="11" t="s">
        <v>193</v>
      </c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5.75" customHeight="1">
      <c r="A21" s="11" t="str">
        <f t="shared" si="2"/>
        <v>elixir-019</v>
      </c>
      <c r="B21" s="11" t="s">
        <v>187</v>
      </c>
      <c r="C21" s="11" t="str">
        <f t="shared" si="1"/>
        <v>Elixir do Urso | Obra-Prima</v>
      </c>
      <c r="D21" s="11" t="s">
        <v>29</v>
      </c>
      <c r="E21" s="11" t="s">
        <v>155</v>
      </c>
      <c r="F21" s="11" t="s">
        <v>156</v>
      </c>
      <c r="G21" s="12"/>
      <c r="H21" s="11" t="s">
        <v>166</v>
      </c>
      <c r="I21" s="11" t="s">
        <v>194</v>
      </c>
      <c r="J21" s="11">
        <v>4.0</v>
      </c>
      <c r="K21" s="11">
        <v>3200.0</v>
      </c>
      <c r="L21" s="11">
        <v>0.4</v>
      </c>
      <c r="M21" s="6" t="s">
        <v>189</v>
      </c>
      <c r="N21" s="11" t="s">
        <v>195</v>
      </c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customHeight="1">
      <c r="A22" s="11" t="str">
        <f t="shared" si="2"/>
        <v>elixir-020</v>
      </c>
      <c r="B22" s="11" t="s">
        <v>196</v>
      </c>
      <c r="C22" s="11" t="str">
        <f t="shared" si="1"/>
        <v>Elixir do Dragão | Comum</v>
      </c>
      <c r="D22" s="11" t="s">
        <v>16</v>
      </c>
      <c r="E22" s="11" t="s">
        <v>155</v>
      </c>
      <c r="F22" s="11" t="s">
        <v>156</v>
      </c>
      <c r="G22" s="12"/>
      <c r="H22" s="11" t="s">
        <v>112</v>
      </c>
      <c r="I22" s="11" t="s">
        <v>197</v>
      </c>
      <c r="J22" s="11">
        <v>32.0</v>
      </c>
      <c r="K22" s="11">
        <v>400.0</v>
      </c>
      <c r="L22" s="11">
        <v>0.8</v>
      </c>
      <c r="M22" s="6" t="s">
        <v>198</v>
      </c>
      <c r="N22" s="11" t="s">
        <v>199</v>
      </c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A23" s="11" t="str">
        <f t="shared" si="2"/>
        <v>elixir-021</v>
      </c>
      <c r="B23" s="11" t="s">
        <v>196</v>
      </c>
      <c r="C23" s="11" t="str">
        <f t="shared" si="1"/>
        <v>Elixir do Dragão | Boa</v>
      </c>
      <c r="D23" s="11" t="s">
        <v>23</v>
      </c>
      <c r="E23" s="11" t="s">
        <v>155</v>
      </c>
      <c r="F23" s="11" t="s">
        <v>156</v>
      </c>
      <c r="G23" s="12"/>
      <c r="H23" s="11" t="s">
        <v>160</v>
      </c>
      <c r="I23" s="11" t="s">
        <v>197</v>
      </c>
      <c r="J23" s="11">
        <v>28.0</v>
      </c>
      <c r="K23" s="11">
        <v>800.0</v>
      </c>
      <c r="L23" s="11">
        <v>0.7</v>
      </c>
      <c r="M23" s="6" t="s">
        <v>198</v>
      </c>
      <c r="N23" s="11" t="s">
        <v>200</v>
      </c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customHeight="1">
      <c r="A24" s="11" t="str">
        <f t="shared" si="2"/>
        <v>elixir-022</v>
      </c>
      <c r="B24" s="11" t="s">
        <v>196</v>
      </c>
      <c r="C24" s="11" t="str">
        <f t="shared" si="1"/>
        <v>Elixir do Dragão | Superior</v>
      </c>
      <c r="D24" s="11" t="s">
        <v>25</v>
      </c>
      <c r="E24" s="11" t="s">
        <v>155</v>
      </c>
      <c r="F24" s="11" t="s">
        <v>156</v>
      </c>
      <c r="G24" s="12"/>
      <c r="H24" s="11" t="s">
        <v>162</v>
      </c>
      <c r="I24" s="11" t="s">
        <v>197</v>
      </c>
      <c r="J24" s="11">
        <v>24.0</v>
      </c>
      <c r="K24" s="11">
        <v>1600.0</v>
      </c>
      <c r="L24" s="11">
        <v>0.6</v>
      </c>
      <c r="M24" s="6" t="s">
        <v>198</v>
      </c>
      <c r="N24" s="11" t="s">
        <v>201</v>
      </c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customHeight="1">
      <c r="A25" s="11" t="str">
        <f t="shared" si="2"/>
        <v>elixir-023</v>
      </c>
      <c r="B25" s="11" t="s">
        <v>196</v>
      </c>
      <c r="C25" s="11" t="str">
        <f t="shared" si="1"/>
        <v>Elixir do Dragão | Excelente</v>
      </c>
      <c r="D25" s="11" t="s">
        <v>27</v>
      </c>
      <c r="E25" s="11" t="s">
        <v>155</v>
      </c>
      <c r="F25" s="11" t="s">
        <v>156</v>
      </c>
      <c r="G25" s="12"/>
      <c r="H25" s="11" t="s">
        <v>164</v>
      </c>
      <c r="I25" s="11" t="s">
        <v>197</v>
      </c>
      <c r="J25" s="11">
        <v>20.0</v>
      </c>
      <c r="K25" s="11">
        <v>3200.0</v>
      </c>
      <c r="L25" s="11">
        <v>0.5</v>
      </c>
      <c r="M25" s="6" t="s">
        <v>198</v>
      </c>
      <c r="N25" s="11" t="s">
        <v>202</v>
      </c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75" customHeight="1">
      <c r="A26" s="11" t="str">
        <f t="shared" si="2"/>
        <v>elixir-024</v>
      </c>
      <c r="B26" s="11" t="s">
        <v>196</v>
      </c>
      <c r="C26" s="11" t="str">
        <f t="shared" si="1"/>
        <v>Elixir do Dragão | Obra-Prima</v>
      </c>
      <c r="D26" s="11" t="s">
        <v>29</v>
      </c>
      <c r="E26" s="11" t="s">
        <v>155</v>
      </c>
      <c r="F26" s="11" t="s">
        <v>156</v>
      </c>
      <c r="G26" s="12"/>
      <c r="H26" s="11" t="s">
        <v>166</v>
      </c>
      <c r="I26" s="11" t="s">
        <v>203</v>
      </c>
      <c r="J26" s="11">
        <v>16.0</v>
      </c>
      <c r="K26" s="11">
        <v>6400.0</v>
      </c>
      <c r="L26" s="11">
        <v>0.4</v>
      </c>
      <c r="M26" s="6" t="s">
        <v>198</v>
      </c>
      <c r="N26" s="11" t="s">
        <v>204</v>
      </c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75" customHeight="1">
      <c r="A27" s="11" t="str">
        <f t="shared" si="2"/>
        <v>elixir-025</v>
      </c>
      <c r="B27" s="11" t="s">
        <v>205</v>
      </c>
      <c r="C27" s="11" t="str">
        <f t="shared" si="1"/>
        <v>Elixir do Gato | Comum</v>
      </c>
      <c r="D27" s="11" t="s">
        <v>16</v>
      </c>
      <c r="E27" s="11" t="s">
        <v>155</v>
      </c>
      <c r="F27" s="11" t="s">
        <v>18</v>
      </c>
      <c r="G27" s="12"/>
      <c r="H27" s="11" t="s">
        <v>106</v>
      </c>
      <c r="I27" s="11" t="s">
        <v>206</v>
      </c>
      <c r="J27" s="11">
        <v>16.0</v>
      </c>
      <c r="K27" s="11">
        <v>150.0</v>
      </c>
      <c r="L27" s="11">
        <v>0.8</v>
      </c>
      <c r="M27" s="6" t="s">
        <v>207</v>
      </c>
      <c r="N27" s="6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75" customHeight="1">
      <c r="A28" s="11" t="str">
        <f t="shared" si="2"/>
        <v>elixir-026</v>
      </c>
      <c r="B28" s="11" t="s">
        <v>205</v>
      </c>
      <c r="C28" s="11" t="str">
        <f t="shared" si="1"/>
        <v>Elixir do Gato | Boa</v>
      </c>
      <c r="D28" s="11" t="s">
        <v>23</v>
      </c>
      <c r="E28" s="11" t="s">
        <v>155</v>
      </c>
      <c r="F28" s="11" t="s">
        <v>18</v>
      </c>
      <c r="G28" s="12"/>
      <c r="H28" s="11" t="s">
        <v>208</v>
      </c>
      <c r="I28" s="11" t="s">
        <v>206</v>
      </c>
      <c r="J28" s="11">
        <v>12.0</v>
      </c>
      <c r="K28" s="11">
        <v>300.0</v>
      </c>
      <c r="L28" s="11">
        <v>0.7</v>
      </c>
      <c r="M28" s="6" t="s">
        <v>207</v>
      </c>
      <c r="N28" s="6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75" customHeight="1">
      <c r="A29" s="11" t="str">
        <f t="shared" si="2"/>
        <v>elixir-027</v>
      </c>
      <c r="B29" s="11" t="s">
        <v>205</v>
      </c>
      <c r="C29" s="11" t="str">
        <f t="shared" si="1"/>
        <v>Elixir do Gato | Superior</v>
      </c>
      <c r="D29" s="11" t="s">
        <v>25</v>
      </c>
      <c r="E29" s="11" t="s">
        <v>155</v>
      </c>
      <c r="F29" s="11" t="s">
        <v>18</v>
      </c>
      <c r="G29" s="12"/>
      <c r="H29" s="11" t="s">
        <v>111</v>
      </c>
      <c r="I29" s="11" t="s">
        <v>206</v>
      </c>
      <c r="J29" s="11">
        <v>10.0</v>
      </c>
      <c r="K29" s="11">
        <v>450.0</v>
      </c>
      <c r="L29" s="11">
        <v>0.6</v>
      </c>
      <c r="M29" s="6" t="s">
        <v>207</v>
      </c>
      <c r="N29" s="6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75" customHeight="1">
      <c r="A30" s="11" t="str">
        <f t="shared" si="2"/>
        <v>elixir-028</v>
      </c>
      <c r="B30" s="11" t="s">
        <v>205</v>
      </c>
      <c r="C30" s="11" t="str">
        <f t="shared" si="1"/>
        <v>Elixir do Gato | Excelente</v>
      </c>
      <c r="D30" s="11" t="s">
        <v>27</v>
      </c>
      <c r="E30" s="11" t="s">
        <v>155</v>
      </c>
      <c r="F30" s="11" t="s">
        <v>18</v>
      </c>
      <c r="G30" s="12"/>
      <c r="H30" s="11" t="s">
        <v>209</v>
      </c>
      <c r="I30" s="11" t="s">
        <v>206</v>
      </c>
      <c r="J30" s="11">
        <v>8.0</v>
      </c>
      <c r="K30" s="11">
        <v>600.0</v>
      </c>
      <c r="L30" s="11">
        <v>0.5</v>
      </c>
      <c r="M30" s="6" t="s">
        <v>207</v>
      </c>
      <c r="N30" s="6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75" customHeight="1">
      <c r="A31" s="11" t="str">
        <f t="shared" si="2"/>
        <v>elixir-029</v>
      </c>
      <c r="B31" s="11" t="s">
        <v>205</v>
      </c>
      <c r="C31" s="11" t="str">
        <f t="shared" si="1"/>
        <v>Elixir do Gato | Obra-Prima</v>
      </c>
      <c r="D31" s="11" t="s">
        <v>29</v>
      </c>
      <c r="E31" s="11" t="s">
        <v>155</v>
      </c>
      <c r="F31" s="11" t="s">
        <v>18</v>
      </c>
      <c r="G31" s="12"/>
      <c r="H31" s="11" t="s">
        <v>112</v>
      </c>
      <c r="I31" s="11" t="s">
        <v>210</v>
      </c>
      <c r="J31" s="11">
        <v>4.0</v>
      </c>
      <c r="K31" s="11">
        <v>750.0</v>
      </c>
      <c r="L31" s="11">
        <v>0.4</v>
      </c>
      <c r="M31" s="6" t="s">
        <v>207</v>
      </c>
      <c r="N31" s="6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.75" customHeight="1">
      <c r="A32" s="11" t="str">
        <f t="shared" si="2"/>
        <v>elixir-030</v>
      </c>
      <c r="B32" s="11" t="s">
        <v>211</v>
      </c>
      <c r="C32" s="11" t="str">
        <f t="shared" si="1"/>
        <v>Elixir do Sapo | Comum</v>
      </c>
      <c r="D32" s="11" t="s">
        <v>16</v>
      </c>
      <c r="E32" s="11" t="s">
        <v>155</v>
      </c>
      <c r="F32" s="11" t="s">
        <v>18</v>
      </c>
      <c r="G32" s="12"/>
      <c r="H32" s="11" t="s">
        <v>106</v>
      </c>
      <c r="I32" s="11" t="s">
        <v>212</v>
      </c>
      <c r="J32" s="11">
        <v>16.0</v>
      </c>
      <c r="K32" s="11">
        <v>150.0</v>
      </c>
      <c r="L32" s="11">
        <v>0.8</v>
      </c>
      <c r="M32" s="6" t="s">
        <v>213</v>
      </c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5.75" customHeight="1">
      <c r="A33" s="11" t="str">
        <f t="shared" si="2"/>
        <v>elixir-031</v>
      </c>
      <c r="B33" s="11" t="s">
        <v>211</v>
      </c>
      <c r="C33" s="11" t="str">
        <f t="shared" si="1"/>
        <v>Elixir do Sapo | Boa</v>
      </c>
      <c r="D33" s="11" t="s">
        <v>23</v>
      </c>
      <c r="E33" s="11" t="s">
        <v>155</v>
      </c>
      <c r="F33" s="11" t="s">
        <v>18</v>
      </c>
      <c r="G33" s="12"/>
      <c r="H33" s="11" t="s">
        <v>208</v>
      </c>
      <c r="I33" s="11" t="s">
        <v>212</v>
      </c>
      <c r="J33" s="11">
        <v>12.0</v>
      </c>
      <c r="K33" s="11">
        <v>300.0</v>
      </c>
      <c r="L33" s="11">
        <v>0.7</v>
      </c>
      <c r="M33" s="6" t="s">
        <v>213</v>
      </c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5.75" customHeight="1">
      <c r="A34" s="11" t="str">
        <f t="shared" si="2"/>
        <v>elixir-032</v>
      </c>
      <c r="B34" s="11" t="s">
        <v>211</v>
      </c>
      <c r="C34" s="11" t="str">
        <f t="shared" si="1"/>
        <v>Elixir do Sapo | Superior</v>
      </c>
      <c r="D34" s="11" t="s">
        <v>25</v>
      </c>
      <c r="E34" s="11" t="s">
        <v>155</v>
      </c>
      <c r="F34" s="11" t="s">
        <v>18</v>
      </c>
      <c r="G34" s="12"/>
      <c r="H34" s="11" t="s">
        <v>111</v>
      </c>
      <c r="I34" s="11" t="s">
        <v>212</v>
      </c>
      <c r="J34" s="11">
        <v>10.0</v>
      </c>
      <c r="K34" s="11">
        <v>450.0</v>
      </c>
      <c r="L34" s="11">
        <v>0.6</v>
      </c>
      <c r="M34" s="6" t="s">
        <v>213</v>
      </c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5.75" customHeight="1">
      <c r="A35" s="11" t="str">
        <f t="shared" si="2"/>
        <v>elixir-033</v>
      </c>
      <c r="B35" s="11" t="s">
        <v>211</v>
      </c>
      <c r="C35" s="11" t="str">
        <f t="shared" si="1"/>
        <v>Elixir do Sapo | Excelente</v>
      </c>
      <c r="D35" s="11" t="s">
        <v>27</v>
      </c>
      <c r="E35" s="11" t="s">
        <v>155</v>
      </c>
      <c r="F35" s="11" t="s">
        <v>18</v>
      </c>
      <c r="G35" s="12"/>
      <c r="H35" s="11" t="s">
        <v>209</v>
      </c>
      <c r="I35" s="11" t="s">
        <v>212</v>
      </c>
      <c r="J35" s="11">
        <v>8.0</v>
      </c>
      <c r="K35" s="11">
        <v>600.0</v>
      </c>
      <c r="L35" s="11">
        <v>0.5</v>
      </c>
      <c r="M35" s="6" t="s">
        <v>213</v>
      </c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5.75" customHeight="1">
      <c r="A36" s="11" t="str">
        <f t="shared" si="2"/>
        <v>elixir-034</v>
      </c>
      <c r="B36" s="11" t="s">
        <v>211</v>
      </c>
      <c r="C36" s="11" t="str">
        <f t="shared" si="1"/>
        <v>Elixir do Sapo | Obra-Prima</v>
      </c>
      <c r="D36" s="11" t="s">
        <v>29</v>
      </c>
      <c r="E36" s="11" t="s">
        <v>155</v>
      </c>
      <c r="F36" s="11" t="s">
        <v>18</v>
      </c>
      <c r="G36" s="12"/>
      <c r="H36" s="11" t="s">
        <v>112</v>
      </c>
      <c r="I36" s="11" t="s">
        <v>214</v>
      </c>
      <c r="J36" s="11">
        <v>4.0</v>
      </c>
      <c r="K36" s="11">
        <v>750.0</v>
      </c>
      <c r="L36" s="11">
        <v>0.4</v>
      </c>
      <c r="M36" s="6" t="s">
        <v>213</v>
      </c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5.75" customHeight="1">
      <c r="A37" s="11" t="str">
        <f t="shared" si="2"/>
        <v>elixir-035</v>
      </c>
      <c r="B37" s="11" t="s">
        <v>215</v>
      </c>
      <c r="C37" s="11" t="str">
        <f t="shared" si="1"/>
        <v>Elixir do Stalker | Comum</v>
      </c>
      <c r="D37" s="11" t="s">
        <v>16</v>
      </c>
      <c r="E37" s="11" t="s">
        <v>155</v>
      </c>
      <c r="F37" s="11" t="s">
        <v>18</v>
      </c>
      <c r="G37" s="12"/>
      <c r="H37" s="11" t="s">
        <v>106</v>
      </c>
      <c r="I37" s="11" t="s">
        <v>216</v>
      </c>
      <c r="J37" s="11">
        <v>16.0</v>
      </c>
      <c r="K37" s="11">
        <v>200.0</v>
      </c>
      <c r="L37" s="11">
        <v>0.8</v>
      </c>
      <c r="M37" s="6" t="s">
        <v>217</v>
      </c>
      <c r="N37" s="6" t="s">
        <v>218</v>
      </c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5.75" customHeight="1">
      <c r="A38" s="11" t="str">
        <f t="shared" si="2"/>
        <v>elixir-036</v>
      </c>
      <c r="B38" s="11" t="s">
        <v>215</v>
      </c>
      <c r="C38" s="11" t="str">
        <f t="shared" si="1"/>
        <v>Elixir do Stalker | Boa</v>
      </c>
      <c r="D38" s="11" t="s">
        <v>23</v>
      </c>
      <c r="E38" s="11" t="s">
        <v>155</v>
      </c>
      <c r="F38" s="11" t="s">
        <v>18</v>
      </c>
      <c r="G38" s="12"/>
      <c r="H38" s="11" t="s">
        <v>208</v>
      </c>
      <c r="I38" s="11" t="s">
        <v>216</v>
      </c>
      <c r="J38" s="11">
        <v>12.0</v>
      </c>
      <c r="K38" s="11">
        <v>400.0</v>
      </c>
      <c r="L38" s="11">
        <v>0.7</v>
      </c>
      <c r="M38" s="6" t="s">
        <v>217</v>
      </c>
      <c r="N38" s="6" t="s">
        <v>218</v>
      </c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.75" customHeight="1">
      <c r="A39" s="11" t="str">
        <f t="shared" si="2"/>
        <v>elixir-037</v>
      </c>
      <c r="B39" s="11" t="s">
        <v>215</v>
      </c>
      <c r="C39" s="11" t="str">
        <f t="shared" si="1"/>
        <v>Elixir do Stalker | Superior</v>
      </c>
      <c r="D39" s="11" t="s">
        <v>25</v>
      </c>
      <c r="E39" s="11" t="s">
        <v>155</v>
      </c>
      <c r="F39" s="11" t="s">
        <v>18</v>
      </c>
      <c r="G39" s="12"/>
      <c r="H39" s="11" t="s">
        <v>111</v>
      </c>
      <c r="I39" s="11" t="s">
        <v>216</v>
      </c>
      <c r="J39" s="11">
        <v>10.0</v>
      </c>
      <c r="K39" s="11">
        <v>600.0</v>
      </c>
      <c r="L39" s="11">
        <v>0.6</v>
      </c>
      <c r="M39" s="6" t="s">
        <v>217</v>
      </c>
      <c r="N39" s="6" t="s">
        <v>218</v>
      </c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5.75" customHeight="1">
      <c r="A40" s="11" t="str">
        <f t="shared" si="2"/>
        <v>elixir-038</v>
      </c>
      <c r="B40" s="11" t="s">
        <v>215</v>
      </c>
      <c r="C40" s="11" t="str">
        <f t="shared" si="1"/>
        <v>Elixir do Stalker | Excelente</v>
      </c>
      <c r="D40" s="11" t="s">
        <v>27</v>
      </c>
      <c r="E40" s="11" t="s">
        <v>155</v>
      </c>
      <c r="F40" s="11" t="s">
        <v>18</v>
      </c>
      <c r="G40" s="12"/>
      <c r="H40" s="11" t="s">
        <v>209</v>
      </c>
      <c r="I40" s="11" t="s">
        <v>216</v>
      </c>
      <c r="J40" s="11">
        <v>8.0</v>
      </c>
      <c r="K40" s="11">
        <v>800.0</v>
      </c>
      <c r="L40" s="11">
        <v>0.5</v>
      </c>
      <c r="M40" s="6" t="s">
        <v>217</v>
      </c>
      <c r="N40" s="6" t="s">
        <v>218</v>
      </c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75" customHeight="1">
      <c r="A41" s="11" t="str">
        <f t="shared" si="2"/>
        <v>elixir-039</v>
      </c>
      <c r="B41" s="11" t="s">
        <v>215</v>
      </c>
      <c r="C41" s="11" t="str">
        <f t="shared" si="1"/>
        <v>Elixir do Stalker | Obra-Prima</v>
      </c>
      <c r="D41" s="11" t="s">
        <v>29</v>
      </c>
      <c r="E41" s="11" t="s">
        <v>155</v>
      </c>
      <c r="F41" s="11" t="s">
        <v>18</v>
      </c>
      <c r="G41" s="12"/>
      <c r="H41" s="11" t="s">
        <v>112</v>
      </c>
      <c r="I41" s="11" t="s">
        <v>219</v>
      </c>
      <c r="J41" s="11">
        <v>4.0</v>
      </c>
      <c r="K41" s="11">
        <v>1000.0</v>
      </c>
      <c r="L41" s="11">
        <v>0.4</v>
      </c>
      <c r="M41" s="6" t="s">
        <v>217</v>
      </c>
      <c r="N41" s="6" t="s">
        <v>220</v>
      </c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13.0"/>
    <col customWidth="1" min="3" max="3" width="20.43"/>
    <col customWidth="1" min="4" max="4" width="10.43"/>
    <col customWidth="1" min="5" max="5" width="11.0"/>
    <col customWidth="1" min="6" max="6" width="13.29"/>
    <col customWidth="1" hidden="1" min="7" max="7" width="20.29"/>
    <col customWidth="1" min="8" max="8" width="13.29"/>
    <col customWidth="1" min="9" max="9" width="28.0"/>
    <col customWidth="1" min="10" max="10" width="12.57"/>
    <col customWidth="1" min="11" max="11" width="11.29"/>
    <col customWidth="1" min="12" max="12" width="12.29"/>
    <col customWidth="1" min="13" max="13" width="98.43"/>
    <col customWidth="1" min="14" max="14" width="33.86"/>
    <col customWidth="1" hidden="1" min="15" max="15" width="8.71"/>
    <col customWidth="1" min="16" max="16" width="14.71"/>
    <col customWidth="1" min="17" max="27" width="8.71"/>
  </cols>
  <sheetData>
    <row r="1" ht="12.7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4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5"/>
      <c r="P1" s="13" t="s">
        <v>221</v>
      </c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 ht="12.75" customHeight="1">
      <c r="A2" s="15" t="s">
        <v>222</v>
      </c>
      <c r="B2" s="15" t="s">
        <v>223</v>
      </c>
      <c r="C2" s="15" t="str">
        <f t="shared" ref="C2:C41" si="1">CONCATENATE(B2," | ",D2)</f>
        <v>Granada de Estilhaços | Comum</v>
      </c>
      <c r="D2" s="15" t="s">
        <v>16</v>
      </c>
      <c r="E2" s="15" t="s">
        <v>224</v>
      </c>
      <c r="F2" s="15" t="s">
        <v>225</v>
      </c>
      <c r="G2" s="15"/>
      <c r="H2" s="15" t="s">
        <v>19</v>
      </c>
      <c r="I2" s="15" t="s">
        <v>226</v>
      </c>
      <c r="J2" s="15"/>
      <c r="K2" s="15">
        <v>200.0</v>
      </c>
      <c r="L2" s="15">
        <v>0.5</v>
      </c>
      <c r="M2" s="15" t="s">
        <v>227</v>
      </c>
      <c r="N2" s="15"/>
      <c r="O2" s="15"/>
      <c r="P2" s="15" t="s">
        <v>228</v>
      </c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 ht="12.75" customHeight="1">
      <c r="A3" s="15" t="str">
        <f t="shared" ref="A3:A41" si="2">LEFT(A2,FIND("-",A2)) &amp; TEXT(VALUE(MID(A2,FIND("-",A2)+1,99)) + 1,"000")</f>
        <v>bomb-001</v>
      </c>
      <c r="B3" s="15" t="s">
        <v>223</v>
      </c>
      <c r="C3" s="15" t="str">
        <f t="shared" si="1"/>
        <v>Granada de Estilhaços | Boa</v>
      </c>
      <c r="D3" s="15" t="s">
        <v>23</v>
      </c>
      <c r="E3" s="15" t="s">
        <v>224</v>
      </c>
      <c r="F3" s="15" t="s">
        <v>225</v>
      </c>
      <c r="G3" s="15"/>
      <c r="H3" s="15" t="s">
        <v>19</v>
      </c>
      <c r="I3" s="15" t="s">
        <v>229</v>
      </c>
      <c r="J3" s="15"/>
      <c r="K3" s="15">
        <v>400.0</v>
      </c>
      <c r="L3" s="15">
        <v>0.75</v>
      </c>
      <c r="M3" s="15" t="s">
        <v>227</v>
      </c>
      <c r="N3" s="15"/>
      <c r="O3" s="15"/>
      <c r="P3" s="15" t="s">
        <v>228</v>
      </c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 ht="12.75" customHeight="1">
      <c r="A4" s="15" t="str">
        <f t="shared" si="2"/>
        <v>bomb-002</v>
      </c>
      <c r="B4" s="15" t="s">
        <v>223</v>
      </c>
      <c r="C4" s="15" t="str">
        <f t="shared" si="1"/>
        <v>Granada de Estilhaços | Superior</v>
      </c>
      <c r="D4" s="15" t="s">
        <v>25</v>
      </c>
      <c r="E4" s="15" t="s">
        <v>224</v>
      </c>
      <c r="F4" s="15" t="s">
        <v>225</v>
      </c>
      <c r="G4" s="15"/>
      <c r="H4" s="15" t="s">
        <v>19</v>
      </c>
      <c r="I4" s="15" t="s">
        <v>230</v>
      </c>
      <c r="J4" s="15"/>
      <c r="K4" s="15">
        <v>600.0</v>
      </c>
      <c r="L4" s="15">
        <v>1.0</v>
      </c>
      <c r="M4" s="15" t="s">
        <v>227</v>
      </c>
      <c r="N4" s="15"/>
      <c r="O4" s="15"/>
      <c r="P4" s="15" t="s">
        <v>231</v>
      </c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 ht="12.75" customHeight="1">
      <c r="A5" s="15" t="str">
        <f t="shared" si="2"/>
        <v>bomb-003</v>
      </c>
      <c r="B5" s="15" t="s">
        <v>223</v>
      </c>
      <c r="C5" s="15" t="str">
        <f t="shared" si="1"/>
        <v>Granada de Estilhaços | Excelente</v>
      </c>
      <c r="D5" s="15" t="s">
        <v>27</v>
      </c>
      <c r="E5" s="15" t="s">
        <v>224</v>
      </c>
      <c r="F5" s="15" t="s">
        <v>225</v>
      </c>
      <c r="G5" s="15"/>
      <c r="H5" s="15" t="s">
        <v>19</v>
      </c>
      <c r="I5" s="15" t="s">
        <v>232</v>
      </c>
      <c r="J5" s="15"/>
      <c r="K5" s="15">
        <v>800.0</v>
      </c>
      <c r="L5" s="15">
        <v>1.25</v>
      </c>
      <c r="M5" s="15" t="s">
        <v>227</v>
      </c>
      <c r="N5" s="15"/>
      <c r="O5" s="15"/>
      <c r="P5" s="15" t="s">
        <v>231</v>
      </c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 ht="12.75" customHeight="1">
      <c r="A6" s="15" t="str">
        <f t="shared" si="2"/>
        <v>bomb-004</v>
      </c>
      <c r="B6" s="15" t="s">
        <v>223</v>
      </c>
      <c r="C6" s="15" t="str">
        <f t="shared" si="1"/>
        <v>Granada de Estilhaços | Obra-Prima</v>
      </c>
      <c r="D6" s="15" t="s">
        <v>29</v>
      </c>
      <c r="E6" s="15" t="s">
        <v>224</v>
      </c>
      <c r="F6" s="15" t="s">
        <v>225</v>
      </c>
      <c r="G6" s="15"/>
      <c r="H6" s="15" t="s">
        <v>19</v>
      </c>
      <c r="I6" s="15" t="s">
        <v>233</v>
      </c>
      <c r="J6" s="15"/>
      <c r="K6" s="15">
        <v>1000.0</v>
      </c>
      <c r="L6" s="15">
        <v>1.5</v>
      </c>
      <c r="M6" s="15" t="s">
        <v>227</v>
      </c>
      <c r="N6" s="15"/>
      <c r="O6" s="15"/>
      <c r="P6" s="15" t="s">
        <v>234</v>
      </c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 ht="12.75" customHeight="1">
      <c r="A7" s="15" t="str">
        <f t="shared" si="2"/>
        <v>bomb-005</v>
      </c>
      <c r="B7" s="15" t="s">
        <v>235</v>
      </c>
      <c r="C7" s="15" t="str">
        <f t="shared" si="1"/>
        <v>Granada de Chamas | Comum</v>
      </c>
      <c r="D7" s="15" t="s">
        <v>16</v>
      </c>
      <c r="E7" s="15" t="s">
        <v>224</v>
      </c>
      <c r="F7" s="15" t="s">
        <v>225</v>
      </c>
      <c r="G7" s="15"/>
      <c r="H7" s="15" t="s">
        <v>41</v>
      </c>
      <c r="I7" s="15" t="s">
        <v>236</v>
      </c>
      <c r="J7" s="15"/>
      <c r="K7" s="15">
        <v>200.0</v>
      </c>
      <c r="L7" s="15">
        <v>0.5</v>
      </c>
      <c r="M7" s="15" t="s">
        <v>237</v>
      </c>
      <c r="N7" s="15" t="s">
        <v>238</v>
      </c>
      <c r="O7" s="15"/>
      <c r="P7" s="15" t="s">
        <v>228</v>
      </c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 ht="12.75" customHeight="1">
      <c r="A8" s="15" t="str">
        <f t="shared" si="2"/>
        <v>bomb-006</v>
      </c>
      <c r="B8" s="15" t="s">
        <v>235</v>
      </c>
      <c r="C8" s="15" t="str">
        <f t="shared" si="1"/>
        <v>Granada de Chamas | Boa</v>
      </c>
      <c r="D8" s="15" t="s">
        <v>23</v>
      </c>
      <c r="E8" s="15" t="s">
        <v>224</v>
      </c>
      <c r="F8" s="15" t="s">
        <v>225</v>
      </c>
      <c r="G8" s="15"/>
      <c r="H8" s="15" t="s">
        <v>44</v>
      </c>
      <c r="I8" s="15" t="s">
        <v>236</v>
      </c>
      <c r="J8" s="15"/>
      <c r="K8" s="15">
        <v>400.0</v>
      </c>
      <c r="L8" s="15">
        <v>0.75</v>
      </c>
      <c r="M8" s="15" t="s">
        <v>237</v>
      </c>
      <c r="N8" s="15" t="s">
        <v>238</v>
      </c>
      <c r="O8" s="15"/>
      <c r="P8" s="15" t="s">
        <v>228</v>
      </c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ht="12.75" customHeight="1">
      <c r="A9" s="15" t="str">
        <f t="shared" si="2"/>
        <v>bomb-007</v>
      </c>
      <c r="B9" s="15" t="s">
        <v>235</v>
      </c>
      <c r="C9" s="15" t="str">
        <f t="shared" si="1"/>
        <v>Granada de Chamas | Superior</v>
      </c>
      <c r="D9" s="15" t="s">
        <v>25</v>
      </c>
      <c r="E9" s="15" t="s">
        <v>224</v>
      </c>
      <c r="F9" s="15" t="s">
        <v>225</v>
      </c>
      <c r="G9" s="15"/>
      <c r="H9" s="15" t="s">
        <v>46</v>
      </c>
      <c r="I9" s="15" t="s">
        <v>239</v>
      </c>
      <c r="J9" s="15"/>
      <c r="K9" s="15">
        <v>600.0</v>
      </c>
      <c r="L9" s="15">
        <v>1.0</v>
      </c>
      <c r="M9" s="15" t="s">
        <v>237</v>
      </c>
      <c r="N9" s="15" t="s">
        <v>238</v>
      </c>
      <c r="O9" s="15"/>
      <c r="P9" s="15" t="s">
        <v>231</v>
      </c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ht="12.75" customHeight="1">
      <c r="A10" s="15" t="str">
        <f t="shared" si="2"/>
        <v>bomb-008</v>
      </c>
      <c r="B10" s="15" t="s">
        <v>235</v>
      </c>
      <c r="C10" s="15" t="str">
        <f t="shared" si="1"/>
        <v>Granada de Chamas | Excelente</v>
      </c>
      <c r="D10" s="15" t="s">
        <v>27</v>
      </c>
      <c r="E10" s="15" t="s">
        <v>224</v>
      </c>
      <c r="F10" s="15" t="s">
        <v>225</v>
      </c>
      <c r="G10" s="15"/>
      <c r="H10" s="15" t="s">
        <v>47</v>
      </c>
      <c r="I10" s="15" t="s">
        <v>239</v>
      </c>
      <c r="J10" s="15"/>
      <c r="K10" s="15">
        <v>800.0</v>
      </c>
      <c r="L10" s="15">
        <v>1.25</v>
      </c>
      <c r="M10" s="15" t="s">
        <v>237</v>
      </c>
      <c r="N10" s="15" t="s">
        <v>238</v>
      </c>
      <c r="O10" s="15"/>
      <c r="P10" s="15" t="s">
        <v>231</v>
      </c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 ht="12.75" customHeight="1">
      <c r="A11" s="15" t="str">
        <f t="shared" si="2"/>
        <v>bomb-009</v>
      </c>
      <c r="B11" s="15" t="s">
        <v>235</v>
      </c>
      <c r="C11" s="15" t="str">
        <f t="shared" si="1"/>
        <v>Granada de Chamas | Obra-Prima</v>
      </c>
      <c r="D11" s="15" t="s">
        <v>29</v>
      </c>
      <c r="E11" s="15" t="s">
        <v>224</v>
      </c>
      <c r="F11" s="15" t="s">
        <v>225</v>
      </c>
      <c r="G11" s="15"/>
      <c r="H11" s="15" t="s">
        <v>49</v>
      </c>
      <c r="I11" s="15" t="s">
        <v>240</v>
      </c>
      <c r="J11" s="15"/>
      <c r="K11" s="15">
        <v>1000.0</v>
      </c>
      <c r="L11" s="15">
        <v>1.5</v>
      </c>
      <c r="M11" s="15" t="s">
        <v>237</v>
      </c>
      <c r="N11" s="15" t="s">
        <v>238</v>
      </c>
      <c r="O11" s="15"/>
      <c r="P11" s="15" t="s">
        <v>234</v>
      </c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 ht="12.75" customHeight="1">
      <c r="A12" s="15" t="str">
        <f t="shared" si="2"/>
        <v>bomb-010</v>
      </c>
      <c r="B12" s="15" t="s">
        <v>241</v>
      </c>
      <c r="C12" s="15" t="str">
        <f t="shared" si="1"/>
        <v>Granada de Cola | Comum</v>
      </c>
      <c r="D12" s="15" t="s">
        <v>16</v>
      </c>
      <c r="E12" s="15" t="s">
        <v>224</v>
      </c>
      <c r="F12" s="15" t="s">
        <v>18</v>
      </c>
      <c r="G12" s="15"/>
      <c r="H12" s="15" t="s">
        <v>41</v>
      </c>
      <c r="I12" s="15" t="s">
        <v>242</v>
      </c>
      <c r="J12" s="15"/>
      <c r="K12" s="15">
        <v>100.0</v>
      </c>
      <c r="L12" s="15">
        <v>0.25</v>
      </c>
      <c r="M12" s="15" t="s">
        <v>243</v>
      </c>
      <c r="N12" s="15" t="s">
        <v>244</v>
      </c>
      <c r="O12" s="15"/>
      <c r="P12" s="15" t="s">
        <v>228</v>
      </c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 ht="12.75" customHeight="1">
      <c r="A13" s="15" t="str">
        <f t="shared" si="2"/>
        <v>bomb-011</v>
      </c>
      <c r="B13" s="15" t="s">
        <v>241</v>
      </c>
      <c r="C13" s="15" t="str">
        <f t="shared" si="1"/>
        <v>Granada de Cola | Boa</v>
      </c>
      <c r="D13" s="15" t="s">
        <v>23</v>
      </c>
      <c r="E13" s="15" t="s">
        <v>224</v>
      </c>
      <c r="F13" s="15" t="s">
        <v>18</v>
      </c>
      <c r="G13" s="15"/>
      <c r="H13" s="15" t="s">
        <v>44</v>
      </c>
      <c r="I13" s="15" t="s">
        <v>245</v>
      </c>
      <c r="J13" s="15"/>
      <c r="K13" s="15">
        <v>200.0</v>
      </c>
      <c r="L13" s="15">
        <v>0.5</v>
      </c>
      <c r="M13" s="15" t="s">
        <v>243</v>
      </c>
      <c r="N13" s="15" t="s">
        <v>244</v>
      </c>
      <c r="O13" s="15"/>
      <c r="P13" s="15" t="s">
        <v>228</v>
      </c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 ht="12.75" customHeight="1">
      <c r="A14" s="15" t="str">
        <f t="shared" si="2"/>
        <v>bomb-012</v>
      </c>
      <c r="B14" s="15" t="s">
        <v>241</v>
      </c>
      <c r="C14" s="15" t="str">
        <f t="shared" si="1"/>
        <v>Granada de Cola | Superior</v>
      </c>
      <c r="D14" s="15" t="s">
        <v>25</v>
      </c>
      <c r="E14" s="15" t="s">
        <v>224</v>
      </c>
      <c r="F14" s="15" t="s">
        <v>18</v>
      </c>
      <c r="G14" s="15"/>
      <c r="H14" s="15" t="s">
        <v>46</v>
      </c>
      <c r="I14" s="15" t="s">
        <v>246</v>
      </c>
      <c r="J14" s="15"/>
      <c r="K14" s="15">
        <v>300.0</v>
      </c>
      <c r="L14" s="15">
        <v>0.75</v>
      </c>
      <c r="M14" s="15" t="s">
        <v>243</v>
      </c>
      <c r="N14" s="15" t="s">
        <v>244</v>
      </c>
      <c r="O14" s="15"/>
      <c r="P14" s="15" t="s">
        <v>231</v>
      </c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ht="12.75" customHeight="1">
      <c r="A15" s="15" t="str">
        <f t="shared" si="2"/>
        <v>bomb-013</v>
      </c>
      <c r="B15" s="15" t="s">
        <v>241</v>
      </c>
      <c r="C15" s="15" t="str">
        <f t="shared" si="1"/>
        <v>Granada de Cola | Excelente</v>
      </c>
      <c r="D15" s="15" t="s">
        <v>27</v>
      </c>
      <c r="E15" s="15" t="s">
        <v>224</v>
      </c>
      <c r="F15" s="15" t="s">
        <v>18</v>
      </c>
      <c r="G15" s="15"/>
      <c r="H15" s="15" t="s">
        <v>47</v>
      </c>
      <c r="I15" s="15" t="s">
        <v>247</v>
      </c>
      <c r="J15" s="15"/>
      <c r="K15" s="15">
        <v>400.0</v>
      </c>
      <c r="L15" s="15">
        <v>1.0</v>
      </c>
      <c r="M15" s="15" t="s">
        <v>243</v>
      </c>
      <c r="N15" s="15" t="s">
        <v>244</v>
      </c>
      <c r="O15" s="15"/>
      <c r="P15" s="15" t="s">
        <v>231</v>
      </c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 ht="12.75" customHeight="1">
      <c r="A16" s="15" t="str">
        <f t="shared" si="2"/>
        <v>bomb-014</v>
      </c>
      <c r="B16" s="15" t="s">
        <v>241</v>
      </c>
      <c r="C16" s="15" t="str">
        <f t="shared" si="1"/>
        <v>Granada de Cola | Obra-Prima</v>
      </c>
      <c r="D16" s="15" t="s">
        <v>29</v>
      </c>
      <c r="E16" s="15" t="s">
        <v>224</v>
      </c>
      <c r="F16" s="15" t="s">
        <v>18</v>
      </c>
      <c r="G16" s="15"/>
      <c r="H16" s="15" t="s">
        <v>49</v>
      </c>
      <c r="I16" s="15" t="s">
        <v>248</v>
      </c>
      <c r="J16" s="15"/>
      <c r="K16" s="15">
        <v>500.0</v>
      </c>
      <c r="L16" s="15">
        <v>1.25</v>
      </c>
      <c r="M16" s="15" t="s">
        <v>243</v>
      </c>
      <c r="N16" s="15" t="s">
        <v>244</v>
      </c>
      <c r="O16" s="15"/>
      <c r="P16" s="15" t="s">
        <v>234</v>
      </c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 ht="12.75" customHeight="1">
      <c r="A17" s="15" t="str">
        <f t="shared" si="2"/>
        <v>bomb-015</v>
      </c>
      <c r="B17" s="15" t="s">
        <v>249</v>
      </c>
      <c r="C17" s="15" t="str">
        <f t="shared" si="1"/>
        <v>Granada de Graxa | Comum</v>
      </c>
      <c r="D17" s="15" t="s">
        <v>16</v>
      </c>
      <c r="E17" s="15" t="s">
        <v>224</v>
      </c>
      <c r="F17" s="15" t="s">
        <v>18</v>
      </c>
      <c r="G17" s="15"/>
      <c r="H17" s="15" t="s">
        <v>41</v>
      </c>
      <c r="I17" s="15" t="s">
        <v>250</v>
      </c>
      <c r="J17" s="15"/>
      <c r="K17" s="15">
        <v>100.0</v>
      </c>
      <c r="L17" s="15">
        <v>0.25</v>
      </c>
      <c r="M17" s="15" t="s">
        <v>251</v>
      </c>
      <c r="N17" s="15" t="s">
        <v>252</v>
      </c>
      <c r="O17" s="15"/>
      <c r="P17" s="15" t="s">
        <v>228</v>
      </c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 ht="12.75" customHeight="1">
      <c r="A18" s="15" t="str">
        <f t="shared" si="2"/>
        <v>bomb-016</v>
      </c>
      <c r="B18" s="15" t="s">
        <v>249</v>
      </c>
      <c r="C18" s="15" t="str">
        <f t="shared" si="1"/>
        <v>Granada de Graxa | Boa</v>
      </c>
      <c r="D18" s="15" t="s">
        <v>23</v>
      </c>
      <c r="E18" s="15" t="s">
        <v>224</v>
      </c>
      <c r="F18" s="15" t="s">
        <v>18</v>
      </c>
      <c r="G18" s="15"/>
      <c r="H18" s="15" t="s">
        <v>44</v>
      </c>
      <c r="I18" s="15" t="s">
        <v>250</v>
      </c>
      <c r="J18" s="15"/>
      <c r="K18" s="15">
        <v>200.0</v>
      </c>
      <c r="L18" s="15">
        <v>0.5</v>
      </c>
      <c r="M18" s="15" t="s">
        <v>251</v>
      </c>
      <c r="N18" s="15" t="s">
        <v>252</v>
      </c>
      <c r="O18" s="15"/>
      <c r="P18" s="15" t="s">
        <v>228</v>
      </c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 ht="12.75" customHeight="1">
      <c r="A19" s="15" t="str">
        <f t="shared" si="2"/>
        <v>bomb-017</v>
      </c>
      <c r="B19" s="15" t="s">
        <v>249</v>
      </c>
      <c r="C19" s="15" t="str">
        <f t="shared" si="1"/>
        <v>Granada de Graxa | Superior</v>
      </c>
      <c r="D19" s="15" t="s">
        <v>25</v>
      </c>
      <c r="E19" s="15" t="s">
        <v>224</v>
      </c>
      <c r="F19" s="15" t="s">
        <v>18</v>
      </c>
      <c r="G19" s="15"/>
      <c r="H19" s="15" t="s">
        <v>46</v>
      </c>
      <c r="I19" s="15" t="s">
        <v>250</v>
      </c>
      <c r="J19" s="15"/>
      <c r="K19" s="15">
        <v>300.0</v>
      </c>
      <c r="L19" s="15">
        <v>0.75</v>
      </c>
      <c r="M19" s="15" t="s">
        <v>251</v>
      </c>
      <c r="N19" s="15" t="s">
        <v>252</v>
      </c>
      <c r="O19" s="15"/>
      <c r="P19" s="15" t="s">
        <v>231</v>
      </c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 ht="12.75" customHeight="1">
      <c r="A20" s="15" t="str">
        <f t="shared" si="2"/>
        <v>bomb-018</v>
      </c>
      <c r="B20" s="15" t="s">
        <v>249</v>
      </c>
      <c r="C20" s="15" t="str">
        <f t="shared" si="1"/>
        <v>Granada de Graxa | Excelente</v>
      </c>
      <c r="D20" s="15" t="s">
        <v>27</v>
      </c>
      <c r="E20" s="15" t="s">
        <v>224</v>
      </c>
      <c r="F20" s="15" t="s">
        <v>18</v>
      </c>
      <c r="G20" s="15"/>
      <c r="H20" s="15" t="s">
        <v>47</v>
      </c>
      <c r="I20" s="15" t="s">
        <v>250</v>
      </c>
      <c r="J20" s="15"/>
      <c r="K20" s="15">
        <v>400.0</v>
      </c>
      <c r="L20" s="15">
        <v>1.0</v>
      </c>
      <c r="M20" s="15" t="s">
        <v>251</v>
      </c>
      <c r="N20" s="15" t="s">
        <v>252</v>
      </c>
      <c r="O20" s="15"/>
      <c r="P20" s="15" t="s">
        <v>231</v>
      </c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 ht="12.75" customHeight="1">
      <c r="A21" s="15" t="str">
        <f t="shared" si="2"/>
        <v>bomb-019</v>
      </c>
      <c r="B21" s="15" t="s">
        <v>249</v>
      </c>
      <c r="C21" s="15" t="str">
        <f t="shared" si="1"/>
        <v>Granada de Graxa | Obra-Prima</v>
      </c>
      <c r="D21" s="15" t="s">
        <v>29</v>
      </c>
      <c r="E21" s="15" t="s">
        <v>224</v>
      </c>
      <c r="F21" s="15" t="s">
        <v>18</v>
      </c>
      <c r="G21" s="15"/>
      <c r="H21" s="15" t="s">
        <v>49</v>
      </c>
      <c r="I21" s="15" t="s">
        <v>250</v>
      </c>
      <c r="J21" s="15"/>
      <c r="K21" s="15">
        <v>500.0</v>
      </c>
      <c r="L21" s="15">
        <v>1.25</v>
      </c>
      <c r="M21" s="15" t="s">
        <v>251</v>
      </c>
      <c r="N21" s="15" t="s">
        <v>252</v>
      </c>
      <c r="O21" s="15"/>
      <c r="P21" s="15" t="s">
        <v>234</v>
      </c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ht="12.75" customHeight="1">
      <c r="A22" s="15" t="str">
        <f t="shared" si="2"/>
        <v>bomb-020</v>
      </c>
      <c r="B22" s="15" t="s">
        <v>253</v>
      </c>
      <c r="C22" s="15" t="str">
        <f t="shared" si="1"/>
        <v>Bomba de Fumaça | Comum</v>
      </c>
      <c r="D22" s="15" t="s">
        <v>16</v>
      </c>
      <c r="E22" s="15" t="s">
        <v>224</v>
      </c>
      <c r="F22" s="15" t="s">
        <v>18</v>
      </c>
      <c r="G22" s="15"/>
      <c r="H22" s="15" t="s">
        <v>41</v>
      </c>
      <c r="I22" s="15" t="s">
        <v>254</v>
      </c>
      <c r="J22" s="15"/>
      <c r="K22" s="15">
        <v>100.0</v>
      </c>
      <c r="L22" s="15">
        <v>0.25</v>
      </c>
      <c r="M22" s="15" t="s">
        <v>255</v>
      </c>
      <c r="N22" s="15" t="s">
        <v>256</v>
      </c>
      <c r="O22" s="15"/>
      <c r="P22" s="15" t="s">
        <v>228</v>
      </c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 ht="12.75" customHeight="1">
      <c r="A23" s="15" t="str">
        <f t="shared" si="2"/>
        <v>bomb-021</v>
      </c>
      <c r="B23" s="15" t="s">
        <v>253</v>
      </c>
      <c r="C23" s="15" t="str">
        <f t="shared" si="1"/>
        <v>Bomba de Fumaça | Boa</v>
      </c>
      <c r="D23" s="15" t="s">
        <v>23</v>
      </c>
      <c r="E23" s="15" t="s">
        <v>224</v>
      </c>
      <c r="F23" s="15" t="s">
        <v>18</v>
      </c>
      <c r="G23" s="15"/>
      <c r="H23" s="15" t="s">
        <v>44</v>
      </c>
      <c r="I23" s="15" t="s">
        <v>254</v>
      </c>
      <c r="J23" s="15"/>
      <c r="K23" s="15">
        <v>200.0</v>
      </c>
      <c r="L23" s="15">
        <v>0.5</v>
      </c>
      <c r="M23" s="15" t="s">
        <v>255</v>
      </c>
      <c r="N23" s="15" t="s">
        <v>256</v>
      </c>
      <c r="O23" s="15"/>
      <c r="P23" s="15" t="s">
        <v>228</v>
      </c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 ht="12.75" customHeight="1">
      <c r="A24" s="15" t="str">
        <f t="shared" si="2"/>
        <v>bomb-022</v>
      </c>
      <c r="B24" s="15" t="s">
        <v>253</v>
      </c>
      <c r="C24" s="15" t="str">
        <f t="shared" si="1"/>
        <v>Bomba de Fumaça | Superior</v>
      </c>
      <c r="D24" s="15" t="s">
        <v>25</v>
      </c>
      <c r="E24" s="15" t="s">
        <v>224</v>
      </c>
      <c r="F24" s="15" t="s">
        <v>18</v>
      </c>
      <c r="G24" s="15"/>
      <c r="H24" s="15" t="s">
        <v>46</v>
      </c>
      <c r="I24" s="15" t="s">
        <v>254</v>
      </c>
      <c r="J24" s="15"/>
      <c r="K24" s="15">
        <v>300.0</v>
      </c>
      <c r="L24" s="15">
        <v>0.75</v>
      </c>
      <c r="M24" s="15" t="s">
        <v>255</v>
      </c>
      <c r="N24" s="15" t="s">
        <v>256</v>
      </c>
      <c r="O24" s="15"/>
      <c r="P24" s="15" t="s">
        <v>231</v>
      </c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ht="12.75" customHeight="1">
      <c r="A25" s="15" t="str">
        <f t="shared" si="2"/>
        <v>bomb-023</v>
      </c>
      <c r="B25" s="15" t="s">
        <v>253</v>
      </c>
      <c r="C25" s="15" t="str">
        <f t="shared" si="1"/>
        <v>Bomba de Fumaça | Excelente</v>
      </c>
      <c r="D25" s="15" t="s">
        <v>27</v>
      </c>
      <c r="E25" s="15" t="s">
        <v>224</v>
      </c>
      <c r="F25" s="15" t="s">
        <v>18</v>
      </c>
      <c r="G25" s="15"/>
      <c r="H25" s="15" t="s">
        <v>47</v>
      </c>
      <c r="I25" s="15" t="s">
        <v>254</v>
      </c>
      <c r="J25" s="15"/>
      <c r="K25" s="15">
        <v>400.0</v>
      </c>
      <c r="L25" s="15">
        <v>1.0</v>
      </c>
      <c r="M25" s="15" t="s">
        <v>255</v>
      </c>
      <c r="N25" s="15" t="s">
        <v>256</v>
      </c>
      <c r="O25" s="15"/>
      <c r="P25" s="15" t="s">
        <v>231</v>
      </c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ht="12.75" customHeight="1">
      <c r="A26" s="15" t="str">
        <f t="shared" si="2"/>
        <v>bomb-024</v>
      </c>
      <c r="B26" s="15" t="s">
        <v>253</v>
      </c>
      <c r="C26" s="15" t="str">
        <f t="shared" si="1"/>
        <v>Bomba de Fumaça | Obra-Prima</v>
      </c>
      <c r="D26" s="15" t="s">
        <v>29</v>
      </c>
      <c r="E26" s="15" t="s">
        <v>224</v>
      </c>
      <c r="F26" s="15" t="s">
        <v>18</v>
      </c>
      <c r="G26" s="15"/>
      <c r="H26" s="15" t="s">
        <v>49</v>
      </c>
      <c r="I26" s="15" t="s">
        <v>254</v>
      </c>
      <c r="J26" s="15"/>
      <c r="K26" s="15">
        <v>500.0</v>
      </c>
      <c r="L26" s="15">
        <v>1.25</v>
      </c>
      <c r="M26" s="15" t="s">
        <v>255</v>
      </c>
      <c r="N26" s="15" t="s">
        <v>256</v>
      </c>
      <c r="O26" s="15"/>
      <c r="P26" s="15" t="s">
        <v>234</v>
      </c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 ht="12.75" customHeight="1">
      <c r="A27" s="15" t="str">
        <f t="shared" si="2"/>
        <v>bomb-025</v>
      </c>
      <c r="B27" s="15" t="s">
        <v>257</v>
      </c>
      <c r="C27" s="15" t="str">
        <f t="shared" si="1"/>
        <v>Bomba de Luz | Comum</v>
      </c>
      <c r="D27" s="15" t="s">
        <v>16</v>
      </c>
      <c r="E27" s="15" t="s">
        <v>224</v>
      </c>
      <c r="F27" s="15" t="s">
        <v>18</v>
      </c>
      <c r="G27" s="15"/>
      <c r="H27" s="15" t="s">
        <v>19</v>
      </c>
      <c r="I27" s="15" t="s">
        <v>258</v>
      </c>
      <c r="J27" s="15"/>
      <c r="K27" s="15">
        <v>100.0</v>
      </c>
      <c r="L27" s="15">
        <v>0.25</v>
      </c>
      <c r="M27" s="15" t="s">
        <v>259</v>
      </c>
      <c r="N27" s="15" t="s">
        <v>260</v>
      </c>
      <c r="O27" s="15"/>
      <c r="P27" s="15" t="s">
        <v>234</v>
      </c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 ht="12.75" customHeight="1">
      <c r="A28" s="15" t="str">
        <f t="shared" si="2"/>
        <v>bomb-026</v>
      </c>
      <c r="B28" s="15" t="s">
        <v>257</v>
      </c>
      <c r="C28" s="15" t="str">
        <f t="shared" si="1"/>
        <v>Bomba de Luz | Boa</v>
      </c>
      <c r="D28" s="15" t="s">
        <v>23</v>
      </c>
      <c r="E28" s="15" t="s">
        <v>224</v>
      </c>
      <c r="F28" s="15" t="s">
        <v>18</v>
      </c>
      <c r="G28" s="15"/>
      <c r="H28" s="15" t="s">
        <v>19</v>
      </c>
      <c r="I28" s="15" t="s">
        <v>258</v>
      </c>
      <c r="J28" s="15"/>
      <c r="K28" s="15">
        <v>200.0</v>
      </c>
      <c r="L28" s="15">
        <v>0.5</v>
      </c>
      <c r="M28" s="15" t="s">
        <v>259</v>
      </c>
      <c r="N28" s="15" t="s">
        <v>261</v>
      </c>
      <c r="O28" s="15"/>
      <c r="P28" s="15" t="s">
        <v>234</v>
      </c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ht="12.75" customHeight="1">
      <c r="A29" s="15" t="str">
        <f t="shared" si="2"/>
        <v>bomb-027</v>
      </c>
      <c r="B29" s="15" t="s">
        <v>257</v>
      </c>
      <c r="C29" s="15" t="str">
        <f t="shared" si="1"/>
        <v>Bomba de Luz | Superior</v>
      </c>
      <c r="D29" s="15" t="s">
        <v>25</v>
      </c>
      <c r="E29" s="15" t="s">
        <v>224</v>
      </c>
      <c r="F29" s="15" t="s">
        <v>18</v>
      </c>
      <c r="G29" s="15"/>
      <c r="H29" s="15" t="s">
        <v>19</v>
      </c>
      <c r="I29" s="15" t="s">
        <v>258</v>
      </c>
      <c r="J29" s="15"/>
      <c r="K29" s="15">
        <v>300.0</v>
      </c>
      <c r="L29" s="15">
        <v>0.75</v>
      </c>
      <c r="M29" s="15" t="s">
        <v>259</v>
      </c>
      <c r="N29" s="15" t="s">
        <v>262</v>
      </c>
      <c r="O29" s="15"/>
      <c r="P29" s="15" t="s">
        <v>263</v>
      </c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ht="12.75" customHeight="1">
      <c r="A30" s="15" t="str">
        <f t="shared" si="2"/>
        <v>bomb-028</v>
      </c>
      <c r="B30" s="15" t="s">
        <v>257</v>
      </c>
      <c r="C30" s="15" t="str">
        <f t="shared" si="1"/>
        <v>Bomba de Luz | Excelente</v>
      </c>
      <c r="D30" s="15" t="s">
        <v>27</v>
      </c>
      <c r="E30" s="15" t="s">
        <v>224</v>
      </c>
      <c r="F30" s="15" t="s">
        <v>18</v>
      </c>
      <c r="G30" s="15"/>
      <c r="H30" s="15" t="s">
        <v>19</v>
      </c>
      <c r="I30" s="15" t="s">
        <v>258</v>
      </c>
      <c r="J30" s="15"/>
      <c r="K30" s="15">
        <v>400.0</v>
      </c>
      <c r="L30" s="15">
        <v>1.0</v>
      </c>
      <c r="M30" s="15" t="s">
        <v>259</v>
      </c>
      <c r="N30" s="15" t="s">
        <v>264</v>
      </c>
      <c r="O30" s="15"/>
      <c r="P30" s="15" t="s">
        <v>263</v>
      </c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ht="12.75" customHeight="1">
      <c r="A31" s="15" t="str">
        <f t="shared" si="2"/>
        <v>bomb-029</v>
      </c>
      <c r="B31" s="15" t="s">
        <v>257</v>
      </c>
      <c r="C31" s="15" t="str">
        <f t="shared" si="1"/>
        <v>Bomba de Luz | Obra-Prima</v>
      </c>
      <c r="D31" s="15" t="s">
        <v>29</v>
      </c>
      <c r="E31" s="15" t="s">
        <v>224</v>
      </c>
      <c r="F31" s="15" t="s">
        <v>18</v>
      </c>
      <c r="G31" s="15"/>
      <c r="H31" s="15" t="s">
        <v>19</v>
      </c>
      <c r="I31" s="15" t="s">
        <v>258</v>
      </c>
      <c r="J31" s="15"/>
      <c r="K31" s="15">
        <v>500.0</v>
      </c>
      <c r="L31" s="15">
        <v>1.25</v>
      </c>
      <c r="M31" s="15" t="s">
        <v>259</v>
      </c>
      <c r="N31" s="15" t="s">
        <v>265</v>
      </c>
      <c r="O31" s="15"/>
      <c r="P31" s="15" t="s">
        <v>266</v>
      </c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ht="12.75" customHeight="1">
      <c r="A32" s="15" t="str">
        <f t="shared" si="2"/>
        <v>bomb-030</v>
      </c>
      <c r="B32" s="15" t="s">
        <v>267</v>
      </c>
      <c r="C32" s="15" t="str">
        <f t="shared" si="1"/>
        <v>Granada Elétrica | Comum</v>
      </c>
      <c r="D32" s="15" t="s">
        <v>16</v>
      </c>
      <c r="E32" s="15" t="s">
        <v>224</v>
      </c>
      <c r="F32" s="15" t="s">
        <v>18</v>
      </c>
      <c r="G32" s="15"/>
      <c r="H32" s="15" t="s">
        <v>19</v>
      </c>
      <c r="I32" s="15" t="s">
        <v>268</v>
      </c>
      <c r="J32" s="15"/>
      <c r="K32" s="15">
        <v>100.0</v>
      </c>
      <c r="L32" s="15">
        <v>0.25</v>
      </c>
      <c r="M32" s="15" t="s">
        <v>269</v>
      </c>
      <c r="N32" s="15" t="s">
        <v>270</v>
      </c>
      <c r="O32" s="15"/>
      <c r="P32" s="15" t="s">
        <v>228</v>
      </c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ht="12.75" customHeight="1">
      <c r="A33" s="15" t="str">
        <f t="shared" si="2"/>
        <v>bomb-031</v>
      </c>
      <c r="B33" s="15" t="s">
        <v>267</v>
      </c>
      <c r="C33" s="15" t="str">
        <f t="shared" si="1"/>
        <v>Granada Elétrica | Boa</v>
      </c>
      <c r="D33" s="15" t="s">
        <v>23</v>
      </c>
      <c r="E33" s="15" t="s">
        <v>224</v>
      </c>
      <c r="F33" s="15" t="s">
        <v>18</v>
      </c>
      <c r="G33" s="15"/>
      <c r="H33" s="15" t="s">
        <v>19</v>
      </c>
      <c r="I33" s="15" t="s">
        <v>268</v>
      </c>
      <c r="J33" s="15"/>
      <c r="K33" s="15">
        <v>200.0</v>
      </c>
      <c r="L33" s="15">
        <v>0.5</v>
      </c>
      <c r="M33" s="15" t="s">
        <v>269</v>
      </c>
      <c r="N33" s="15" t="s">
        <v>270</v>
      </c>
      <c r="O33" s="15"/>
      <c r="P33" s="15" t="s">
        <v>228</v>
      </c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ht="12.75" customHeight="1">
      <c r="A34" s="15" t="str">
        <f t="shared" si="2"/>
        <v>bomb-032</v>
      </c>
      <c r="B34" s="15" t="s">
        <v>267</v>
      </c>
      <c r="C34" s="15" t="str">
        <f t="shared" si="1"/>
        <v>Granada Elétrica | Superior</v>
      </c>
      <c r="D34" s="15" t="s">
        <v>25</v>
      </c>
      <c r="E34" s="15" t="s">
        <v>224</v>
      </c>
      <c r="F34" s="15" t="s">
        <v>18</v>
      </c>
      <c r="G34" s="15"/>
      <c r="H34" s="15" t="s">
        <v>19</v>
      </c>
      <c r="I34" s="15" t="s">
        <v>268</v>
      </c>
      <c r="J34" s="15"/>
      <c r="K34" s="15">
        <v>300.0</v>
      </c>
      <c r="L34" s="15">
        <v>0.75</v>
      </c>
      <c r="M34" s="15" t="s">
        <v>269</v>
      </c>
      <c r="N34" s="15" t="s">
        <v>271</v>
      </c>
      <c r="O34" s="15"/>
      <c r="P34" s="15" t="s">
        <v>231</v>
      </c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ht="12.75" customHeight="1">
      <c r="A35" s="15" t="str">
        <f t="shared" si="2"/>
        <v>bomb-033</v>
      </c>
      <c r="B35" s="15" t="s">
        <v>267</v>
      </c>
      <c r="C35" s="15" t="str">
        <f t="shared" si="1"/>
        <v>Granada Elétrica | Excelente</v>
      </c>
      <c r="D35" s="15" t="s">
        <v>27</v>
      </c>
      <c r="E35" s="15" t="s">
        <v>224</v>
      </c>
      <c r="F35" s="15" t="s">
        <v>18</v>
      </c>
      <c r="G35" s="15"/>
      <c r="H35" s="15" t="s">
        <v>19</v>
      </c>
      <c r="I35" s="15" t="s">
        <v>268</v>
      </c>
      <c r="J35" s="15"/>
      <c r="K35" s="15">
        <v>400.0</v>
      </c>
      <c r="L35" s="15">
        <v>1.0</v>
      </c>
      <c r="M35" s="15" t="s">
        <v>269</v>
      </c>
      <c r="N35" s="15" t="s">
        <v>271</v>
      </c>
      <c r="O35" s="15"/>
      <c r="P35" s="15" t="s">
        <v>231</v>
      </c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ht="12.75" customHeight="1">
      <c r="A36" s="15" t="str">
        <f t="shared" si="2"/>
        <v>bomb-034</v>
      </c>
      <c r="B36" s="15" t="s">
        <v>267</v>
      </c>
      <c r="C36" s="15" t="str">
        <f t="shared" si="1"/>
        <v>Granada Elétrica | Obra-Prima</v>
      </c>
      <c r="D36" s="15" t="s">
        <v>29</v>
      </c>
      <c r="E36" s="15" t="s">
        <v>224</v>
      </c>
      <c r="F36" s="15" t="s">
        <v>18</v>
      </c>
      <c r="G36" s="15"/>
      <c r="H36" s="15" t="s">
        <v>19</v>
      </c>
      <c r="I36" s="15" t="s">
        <v>268</v>
      </c>
      <c r="J36" s="15"/>
      <c r="K36" s="15">
        <v>500.0</v>
      </c>
      <c r="L36" s="15">
        <v>1.25</v>
      </c>
      <c r="M36" s="15" t="s">
        <v>269</v>
      </c>
      <c r="N36" s="15" t="s">
        <v>272</v>
      </c>
      <c r="O36" s="15"/>
      <c r="P36" s="15" t="s">
        <v>234</v>
      </c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 ht="12.75" customHeight="1">
      <c r="A37" s="15" t="str">
        <f t="shared" si="2"/>
        <v>bomb-035</v>
      </c>
      <c r="B37" s="16" t="s">
        <v>273</v>
      </c>
      <c r="C37" s="15" t="str">
        <f t="shared" si="1"/>
        <v>Bomba de Sono | Comum</v>
      </c>
      <c r="D37" s="15" t="s">
        <v>16</v>
      </c>
      <c r="E37" s="15" t="s">
        <v>224</v>
      </c>
      <c r="F37" s="15" t="s">
        <v>18</v>
      </c>
      <c r="G37" s="15"/>
      <c r="H37" s="15" t="s">
        <v>41</v>
      </c>
      <c r="I37" s="17" t="s">
        <v>274</v>
      </c>
      <c r="J37" s="15"/>
      <c r="K37" s="15">
        <v>100.0</v>
      </c>
      <c r="L37" s="15">
        <v>0.25</v>
      </c>
      <c r="M37" s="16" t="s">
        <v>275</v>
      </c>
      <c r="N37" s="17" t="s">
        <v>276</v>
      </c>
      <c r="O37" s="15"/>
      <c r="P37" s="15" t="s">
        <v>228</v>
      </c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 ht="12.75" customHeight="1">
      <c r="A38" s="15" t="str">
        <f t="shared" si="2"/>
        <v>bomb-036</v>
      </c>
      <c r="B38" s="16" t="s">
        <v>273</v>
      </c>
      <c r="C38" s="15" t="str">
        <f t="shared" si="1"/>
        <v>Bomba de Sono | Boa</v>
      </c>
      <c r="D38" s="15" t="s">
        <v>23</v>
      </c>
      <c r="E38" s="15" t="s">
        <v>224</v>
      </c>
      <c r="F38" s="15" t="s">
        <v>18</v>
      </c>
      <c r="G38" s="15"/>
      <c r="H38" s="15" t="s">
        <v>44</v>
      </c>
      <c r="I38" s="17" t="s">
        <v>274</v>
      </c>
      <c r="J38" s="15"/>
      <c r="K38" s="15">
        <v>200.0</v>
      </c>
      <c r="L38" s="15">
        <v>0.5</v>
      </c>
      <c r="M38" s="16" t="s">
        <v>275</v>
      </c>
      <c r="N38" s="17" t="s">
        <v>276</v>
      </c>
      <c r="O38" s="15"/>
      <c r="P38" s="15" t="s">
        <v>228</v>
      </c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ht="12.75" customHeight="1">
      <c r="A39" s="15" t="str">
        <f t="shared" si="2"/>
        <v>bomb-037</v>
      </c>
      <c r="B39" s="16" t="s">
        <v>273</v>
      </c>
      <c r="C39" s="15" t="str">
        <f t="shared" si="1"/>
        <v>Bomba de Sono | Superior</v>
      </c>
      <c r="D39" s="15" t="s">
        <v>25</v>
      </c>
      <c r="E39" s="15" t="s">
        <v>224</v>
      </c>
      <c r="F39" s="15" t="s">
        <v>18</v>
      </c>
      <c r="G39" s="15"/>
      <c r="H39" s="15" t="s">
        <v>46</v>
      </c>
      <c r="I39" s="17" t="s">
        <v>274</v>
      </c>
      <c r="J39" s="15"/>
      <c r="K39" s="15">
        <v>300.0</v>
      </c>
      <c r="L39" s="15">
        <v>0.75</v>
      </c>
      <c r="M39" s="16" t="s">
        <v>275</v>
      </c>
      <c r="N39" s="17" t="s">
        <v>276</v>
      </c>
      <c r="O39" s="15"/>
      <c r="P39" s="15" t="s">
        <v>231</v>
      </c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ht="12.75" customHeight="1">
      <c r="A40" s="15" t="str">
        <f t="shared" si="2"/>
        <v>bomb-038</v>
      </c>
      <c r="B40" s="16" t="s">
        <v>273</v>
      </c>
      <c r="C40" s="15" t="str">
        <f t="shared" si="1"/>
        <v>Bomba de Sono | Excelente</v>
      </c>
      <c r="D40" s="15" t="s">
        <v>27</v>
      </c>
      <c r="E40" s="15" t="s">
        <v>224</v>
      </c>
      <c r="F40" s="15" t="s">
        <v>18</v>
      </c>
      <c r="G40" s="15"/>
      <c r="H40" s="15" t="s">
        <v>47</v>
      </c>
      <c r="I40" s="17" t="s">
        <v>274</v>
      </c>
      <c r="J40" s="15"/>
      <c r="K40" s="15">
        <v>400.0</v>
      </c>
      <c r="L40" s="15">
        <v>1.0</v>
      </c>
      <c r="M40" s="16" t="s">
        <v>275</v>
      </c>
      <c r="N40" s="17" t="s">
        <v>276</v>
      </c>
      <c r="O40" s="15"/>
      <c r="P40" s="15" t="s">
        <v>231</v>
      </c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 ht="12.75" customHeight="1">
      <c r="A41" s="15" t="str">
        <f t="shared" si="2"/>
        <v>bomb-039</v>
      </c>
      <c r="B41" s="16" t="s">
        <v>273</v>
      </c>
      <c r="C41" s="15" t="str">
        <f t="shared" si="1"/>
        <v>Bomba de Sono | Obra-Prima</v>
      </c>
      <c r="D41" s="15" t="s">
        <v>29</v>
      </c>
      <c r="E41" s="15" t="s">
        <v>224</v>
      </c>
      <c r="F41" s="15" t="s">
        <v>18</v>
      </c>
      <c r="G41" s="15"/>
      <c r="H41" s="15" t="s">
        <v>49</v>
      </c>
      <c r="I41" s="17" t="s">
        <v>274</v>
      </c>
      <c r="J41" s="15"/>
      <c r="K41" s="15">
        <v>500.0</v>
      </c>
      <c r="L41" s="15">
        <v>1.25</v>
      </c>
      <c r="M41" s="16" t="s">
        <v>275</v>
      </c>
      <c r="N41" s="17" t="s">
        <v>276</v>
      </c>
      <c r="O41" s="15"/>
      <c r="P41" s="15" t="s">
        <v>234</v>
      </c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ht="12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ht="12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ht="12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ht="12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ht="12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 ht="12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 ht="12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 ht="12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ht="12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ht="12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 ht="12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 ht="12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 ht="12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 ht="12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 ht="12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 ht="12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 ht="12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 ht="12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 ht="12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 ht="12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 ht="12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 ht="12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 ht="12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 ht="12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 ht="12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 ht="12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ht="12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 ht="12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 ht="12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 ht="12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 ht="12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 ht="12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 ht="12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 ht="12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 ht="12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 ht="12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 ht="12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 ht="12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 ht="12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 ht="12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 ht="12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 ht="12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 ht="12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 ht="12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 ht="12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 ht="12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 ht="12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 ht="12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 ht="12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 ht="12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 ht="12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 ht="12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 ht="12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 ht="12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 ht="12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 ht="12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 ht="12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 ht="12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 ht="12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 ht="12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 ht="12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 ht="12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 ht="12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 ht="12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 ht="12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 ht="12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 ht="12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 ht="12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 ht="12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 ht="12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 ht="12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 ht="12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 ht="12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 ht="12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 ht="12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 ht="12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 ht="12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 ht="12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 ht="12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 ht="12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 ht="12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 ht="12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 ht="12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 ht="12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 ht="12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 ht="12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 ht="12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 ht="12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 ht="12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 ht="12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 ht="12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 ht="12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 ht="12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 ht="12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 ht="12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 ht="12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 ht="12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 ht="12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 ht="12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 ht="12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 ht="12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 ht="12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 ht="12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 ht="12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 ht="12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 ht="12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 ht="12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 ht="12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 ht="12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 ht="12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 ht="12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 ht="12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 ht="12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 ht="12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 ht="12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 ht="12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 ht="12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 ht="12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 ht="12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 ht="12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 ht="12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 ht="12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 ht="12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 ht="12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 ht="12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 ht="12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 ht="12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 ht="12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 ht="12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 ht="12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 ht="12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 ht="12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 ht="12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 ht="12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 ht="12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 ht="12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 ht="12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 ht="12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 ht="12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 ht="12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 ht="12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 ht="12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 ht="12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 ht="12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 ht="12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 ht="12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 ht="12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 ht="12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 ht="12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 ht="12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 ht="12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 ht="12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 ht="12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 ht="12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 ht="12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 ht="12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 ht="12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 ht="12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 ht="12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 ht="12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 ht="12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 ht="12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 ht="12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 ht="12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 ht="12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 ht="12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 ht="12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 ht="12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 ht="12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 ht="12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 ht="12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 ht="12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 ht="12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 ht="12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 ht="12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 ht="12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 ht="12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 ht="12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 ht="12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 ht="12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 ht="12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 ht="12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 ht="12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 ht="12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 ht="12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 ht="12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 ht="12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 ht="12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 ht="12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 ht="12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 ht="12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 ht="12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 ht="12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 ht="12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 ht="12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 ht="12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 ht="12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 ht="12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 ht="12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 ht="12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 ht="12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 ht="12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 ht="12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 ht="12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 ht="12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 ht="12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 ht="12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 ht="12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 ht="12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 ht="12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 ht="12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 ht="12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 ht="12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 ht="12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 ht="12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 ht="12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 ht="12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 ht="12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 ht="12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 ht="12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 ht="12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 ht="12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 ht="12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 ht="12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 ht="12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 ht="12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 ht="12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 ht="12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 ht="12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 ht="12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 ht="12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 ht="12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 ht="12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 ht="12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 ht="12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 ht="12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 ht="12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 ht="12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 ht="12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 ht="12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 ht="12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 ht="12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 ht="12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 ht="12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 ht="12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 ht="12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 ht="12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 ht="12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 ht="12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 ht="12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 ht="12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 ht="12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 ht="12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 ht="12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 ht="12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 ht="12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 ht="12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 ht="12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 ht="12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 ht="12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 ht="12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 ht="12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 ht="12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 ht="12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 ht="12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 ht="12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 ht="12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 ht="12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 ht="12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 ht="12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 ht="12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 ht="12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 ht="12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 ht="12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 ht="12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 ht="12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 ht="12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 ht="12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 ht="12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 ht="12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 ht="12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 ht="12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 ht="12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 ht="12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 ht="12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 ht="12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 ht="12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 ht="12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 ht="12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 ht="12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 ht="12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 ht="12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 ht="12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 ht="12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 ht="12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 ht="12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 ht="12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 ht="12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 ht="12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 ht="12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 ht="12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 ht="12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 ht="12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 ht="12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 ht="12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 ht="12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 ht="12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 ht="12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 ht="12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 ht="12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 ht="12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 ht="12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 ht="12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 ht="12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 ht="12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 ht="12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 ht="12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 ht="12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 ht="12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 ht="12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 ht="12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 ht="12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 ht="12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 ht="12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 ht="12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 ht="12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 ht="12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 ht="12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 ht="12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 ht="12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 ht="12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 ht="12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 ht="12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 ht="12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 ht="12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 ht="12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 ht="12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 ht="12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 ht="12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 ht="12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 ht="12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 ht="12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 ht="12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 ht="12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 ht="12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 ht="12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 ht="12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 ht="12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 ht="12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 ht="12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 ht="12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 ht="12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 ht="12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 ht="12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 ht="12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 ht="12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 ht="12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 ht="12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 ht="12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 ht="12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 ht="12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 ht="12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 ht="12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 ht="12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 ht="12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 ht="12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 ht="12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 ht="12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 ht="12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 ht="12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 ht="12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 ht="12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 ht="12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 ht="12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 ht="12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 ht="12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 ht="12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 ht="12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 ht="12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 ht="12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 ht="12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 ht="12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 ht="12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 ht="12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 ht="12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 ht="12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 ht="12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 ht="12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 ht="12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 ht="12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 ht="12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 ht="12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 ht="12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 ht="12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 ht="12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 ht="12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 ht="12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 ht="12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 ht="12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 ht="12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 ht="12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 ht="12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 ht="12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 ht="12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 ht="12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 ht="12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 ht="12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 ht="12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 ht="12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 ht="12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 ht="12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 ht="12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 ht="12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 ht="12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 ht="12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 ht="12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 ht="12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 ht="12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 ht="12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 ht="12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 ht="12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 ht="12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 ht="12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 ht="12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 ht="12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 ht="12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 ht="12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 ht="12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 ht="12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 ht="12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 ht="12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 ht="12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 ht="12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 ht="12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 ht="12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 ht="12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 ht="12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 ht="12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 ht="12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 ht="12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 ht="12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 ht="12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 ht="12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 ht="12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 ht="12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 ht="12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 ht="12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 ht="12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 ht="12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 ht="12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 ht="12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 ht="12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 ht="12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 ht="12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 ht="12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 ht="12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 ht="12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 ht="12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 ht="12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 ht="12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 ht="12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 ht="12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 ht="12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 ht="12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 ht="12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 ht="12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 ht="12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 ht="12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 ht="12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 ht="12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 ht="12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 ht="12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 ht="12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 ht="12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 ht="12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 ht="12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 ht="12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 ht="12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 ht="12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 ht="12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 ht="12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 ht="12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 ht="12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 ht="12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 ht="12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 ht="12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 ht="12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 ht="12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 ht="12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 ht="12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 ht="12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 ht="12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 ht="12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 ht="12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 ht="12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 ht="12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 ht="12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 ht="12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 ht="12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 ht="12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 ht="12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 ht="12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 ht="12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 ht="12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 ht="12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 ht="12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 ht="12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 ht="12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 ht="12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 ht="12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 ht="12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 ht="12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 ht="12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 ht="12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 ht="12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 ht="12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 ht="12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 ht="12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 ht="12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 ht="12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 ht="12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 ht="12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 ht="12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 ht="12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 ht="12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 ht="12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 ht="12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 ht="12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 ht="12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 ht="12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 ht="12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 ht="12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 ht="12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 ht="12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 ht="12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 ht="12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 ht="12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 ht="12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 ht="12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 ht="12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 ht="12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 ht="12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 ht="12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 ht="12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 ht="12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 ht="12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 ht="12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 ht="12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 ht="12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 ht="12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 ht="12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 ht="12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 ht="12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 ht="12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 ht="12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 ht="12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 ht="12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 ht="12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 ht="12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 ht="12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 ht="12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 ht="12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 ht="12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 ht="12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 ht="12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 ht="12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 ht="12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 ht="12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 ht="12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 ht="12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 ht="12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 ht="12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 ht="12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 ht="12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 ht="12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 ht="12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 ht="12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 ht="12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 ht="12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 ht="12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 ht="12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 ht="12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 ht="12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 ht="12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 ht="12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 ht="12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 ht="12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 ht="12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 ht="12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 ht="12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 ht="12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 ht="12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 ht="12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 ht="12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 ht="12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 ht="12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 ht="12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 ht="12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 ht="12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 ht="12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 ht="12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 ht="12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 ht="12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 ht="12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 ht="12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 ht="12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 ht="12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 ht="12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 ht="12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 ht="12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 ht="12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 ht="12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 ht="12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 ht="12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 ht="12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 ht="12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 ht="12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 ht="12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 ht="12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 ht="12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 ht="12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 ht="12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 ht="12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 ht="12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 ht="12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 ht="12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 ht="12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 ht="12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 ht="12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 ht="12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 ht="12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 ht="12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 ht="12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 ht="12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 ht="12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 ht="12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 ht="12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 ht="12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 ht="12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 ht="12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 ht="12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 ht="12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 ht="12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 ht="12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 ht="12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 ht="12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 ht="12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 ht="12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 ht="12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 ht="12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 ht="12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 ht="12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 ht="12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 ht="12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 ht="12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 ht="12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 ht="12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 ht="12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 ht="12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 ht="12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 ht="12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 ht="12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 ht="12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 ht="12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 ht="12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 ht="12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 ht="12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 ht="12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 ht="12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 ht="12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 ht="12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 ht="12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 ht="12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 ht="12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 ht="12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 ht="12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 ht="12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 ht="12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 ht="12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 ht="12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 ht="12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 ht="12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 ht="12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 ht="12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 ht="12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 ht="12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 ht="12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 ht="12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 ht="12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 ht="12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 ht="12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 ht="12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 ht="12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 ht="12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 ht="12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 ht="12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 ht="12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 ht="12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 ht="12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 ht="12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 ht="12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 ht="12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 ht="12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 ht="12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 ht="12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 ht="12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 ht="12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 ht="12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 ht="12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 ht="12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 ht="12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 ht="12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 ht="12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 ht="12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 ht="12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 ht="12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 ht="12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 ht="12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 ht="12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 ht="12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 ht="12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 ht="12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 ht="12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 ht="12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 ht="12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 ht="12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 ht="12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 ht="12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 ht="12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 ht="12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 ht="12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 ht="12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 ht="12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 ht="12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 ht="12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 ht="12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 ht="12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 ht="12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 ht="12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 ht="12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 ht="12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 ht="12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 ht="12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 ht="12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 ht="12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 ht="12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 ht="12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 ht="12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 ht="12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 ht="12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 ht="12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 ht="12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 ht="12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 ht="12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 ht="12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 ht="12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 ht="12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 ht="12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 ht="12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 ht="12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 ht="12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 ht="12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 ht="12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 ht="12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 ht="12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 ht="12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 ht="12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 ht="12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 ht="12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 ht="12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 ht="12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 ht="12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 ht="12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 ht="12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 ht="12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 ht="12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 ht="12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 ht="12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 ht="12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 ht="12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 ht="12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 ht="12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 ht="12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 ht="12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 ht="12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 ht="12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 ht="12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 ht="12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 ht="12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 ht="12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 ht="12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 ht="12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 ht="12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 ht="12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 ht="12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 ht="12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 ht="12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 ht="12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 ht="12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 ht="12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 ht="12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 ht="12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 ht="12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 ht="12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 ht="12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 ht="12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 ht="12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 ht="12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 ht="12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 ht="12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 ht="12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 ht="12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 ht="12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 ht="12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 ht="12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 ht="12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 ht="12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 ht="12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 ht="12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 ht="12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 ht="12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 ht="12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 ht="12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 ht="12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 ht="12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 ht="12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 ht="12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 ht="12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 ht="12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 ht="12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 ht="12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 ht="12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 ht="12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 ht="12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 ht="12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 ht="12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 ht="12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 ht="12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 ht="12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 ht="12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 ht="12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 ht="12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 ht="12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 ht="12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 ht="12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 ht="12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 ht="12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 ht="12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 ht="12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 ht="12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 ht="12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 ht="12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 ht="12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 ht="12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 ht="12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 ht="12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 ht="12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 ht="12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 ht="12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 ht="12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 ht="12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 ht="12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 ht="12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 ht="12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 ht="12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 ht="12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 ht="12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 ht="12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 ht="12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 ht="12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 ht="12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 ht="12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 ht="12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 ht="12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 ht="12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 ht="12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 ht="12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 ht="12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 ht="12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 ht="12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 ht="12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 ht="12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 ht="12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 ht="12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 ht="12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 ht="12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 ht="12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 ht="12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 ht="12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 ht="12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 ht="12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 ht="12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 ht="12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 ht="12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 ht="12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 ht="12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 ht="12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 ht="12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 ht="12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 ht="12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 ht="12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 ht="12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 ht="12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 ht="12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 ht="12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 ht="12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 ht="12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 ht="12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 ht="12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 ht="12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 ht="12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 ht="12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 ht="12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 ht="12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 ht="12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 ht="12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 ht="12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  <row r="959" ht="12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</row>
    <row r="960" ht="12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</row>
    <row r="961" ht="12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</row>
    <row r="962" ht="12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</row>
    <row r="963" ht="12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</row>
    <row r="964" ht="12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</row>
    <row r="965" ht="12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</row>
    <row r="966" ht="12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</row>
    <row r="967" ht="12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</row>
    <row r="968" ht="12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</row>
    <row r="969" ht="12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</row>
    <row r="970" ht="12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</row>
    <row r="971" ht="12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</row>
    <row r="972" ht="12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</row>
    <row r="973" ht="12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</row>
    <row r="974" ht="12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</row>
    <row r="975" ht="12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</row>
    <row r="976" ht="12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</row>
    <row r="977" ht="12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</row>
    <row r="978" ht="12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</row>
    <row r="979" ht="12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</row>
    <row r="980" ht="12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</row>
    <row r="981" ht="12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</row>
    <row r="982" ht="12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</row>
    <row r="983" ht="12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</row>
    <row r="984" ht="12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</row>
    <row r="985" ht="12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</row>
    <row r="986" ht="12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</row>
    <row r="987" ht="12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</row>
    <row r="988" ht="12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</row>
    <row r="989" ht="12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</row>
    <row r="990" ht="12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</row>
    <row r="991" ht="12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</row>
    <row r="992" ht="12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</row>
    <row r="993" ht="12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</row>
    <row r="994" ht="12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</row>
    <row r="995" ht="12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20.71"/>
    <col customWidth="1" min="3" max="3" width="16.57"/>
    <col customWidth="1" min="4" max="4" width="20.14"/>
    <col customWidth="1" min="5" max="5" width="22.43"/>
    <col customWidth="1" min="6" max="6" width="20.14"/>
    <col customWidth="1" min="7" max="7" width="21.29"/>
    <col customWidth="1" min="8" max="8" width="18.71"/>
    <col customWidth="1" min="9" max="9" width="19.0"/>
    <col customWidth="1" min="10" max="10" width="22.43"/>
    <col customWidth="1" min="11" max="11" width="27.14"/>
    <col customWidth="1" min="12" max="12" width="17.0"/>
    <col customWidth="1" min="13" max="13" width="18.57"/>
    <col customWidth="1" min="14" max="26" width="8.71"/>
  </cols>
  <sheetData>
    <row r="1">
      <c r="A1" s="18" t="s">
        <v>0</v>
      </c>
      <c r="B1" s="18" t="s">
        <v>1</v>
      </c>
      <c r="C1" s="18" t="s">
        <v>4</v>
      </c>
      <c r="D1" s="18" t="s">
        <v>5</v>
      </c>
      <c r="E1" s="18" t="s">
        <v>6</v>
      </c>
      <c r="F1" s="18" t="s">
        <v>7</v>
      </c>
      <c r="G1" s="18" t="s">
        <v>277</v>
      </c>
      <c r="H1" s="18" t="s">
        <v>8</v>
      </c>
      <c r="I1" s="18" t="s">
        <v>9</v>
      </c>
      <c r="J1" s="18" t="s">
        <v>12</v>
      </c>
      <c r="K1" s="18" t="s">
        <v>13</v>
      </c>
      <c r="L1" s="18" t="s">
        <v>10</v>
      </c>
      <c r="M1" s="18" t="s">
        <v>11</v>
      </c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19"/>
      <c r="B2" s="19" t="s">
        <v>278</v>
      </c>
      <c r="C2" s="19" t="s">
        <v>279</v>
      </c>
      <c r="D2" s="19" t="s">
        <v>32</v>
      </c>
      <c r="E2" s="19"/>
      <c r="F2" s="19" t="s">
        <v>280</v>
      </c>
      <c r="G2" s="19" t="s">
        <v>114</v>
      </c>
      <c r="H2" s="19" t="s">
        <v>281</v>
      </c>
      <c r="I2" s="19"/>
      <c r="J2" s="19" t="s">
        <v>282</v>
      </c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19"/>
      <c r="B3" s="19" t="s">
        <v>283</v>
      </c>
      <c r="C3" s="19" t="s">
        <v>279</v>
      </c>
      <c r="D3" s="19" t="s">
        <v>284</v>
      </c>
      <c r="E3" s="19"/>
      <c r="F3" s="19" t="s">
        <v>285</v>
      </c>
      <c r="G3" s="19" t="s">
        <v>114</v>
      </c>
      <c r="H3" s="19" t="s">
        <v>286</v>
      </c>
      <c r="I3" s="19"/>
      <c r="J3" s="19" t="s">
        <v>287</v>
      </c>
      <c r="K3" s="19" t="s">
        <v>288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19"/>
      <c r="B4" s="19" t="s">
        <v>289</v>
      </c>
      <c r="C4" s="19" t="s">
        <v>279</v>
      </c>
      <c r="D4" s="19" t="s">
        <v>284</v>
      </c>
      <c r="E4" s="19"/>
      <c r="F4" s="19" t="s">
        <v>285</v>
      </c>
      <c r="G4" s="19" t="s">
        <v>114</v>
      </c>
      <c r="H4" s="19" t="s">
        <v>290</v>
      </c>
      <c r="I4" s="19"/>
      <c r="J4" s="19" t="s">
        <v>291</v>
      </c>
      <c r="K4" s="19" t="s">
        <v>288</v>
      </c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19"/>
      <c r="B5" s="19" t="s">
        <v>292</v>
      </c>
      <c r="C5" s="19" t="s">
        <v>279</v>
      </c>
      <c r="D5" s="19" t="s">
        <v>284</v>
      </c>
      <c r="E5" s="19"/>
      <c r="F5" s="19" t="s">
        <v>285</v>
      </c>
      <c r="G5" s="19" t="s">
        <v>114</v>
      </c>
      <c r="H5" s="19" t="s">
        <v>293</v>
      </c>
      <c r="I5" s="19"/>
      <c r="J5" s="19" t="s">
        <v>294</v>
      </c>
      <c r="K5" s="19" t="s">
        <v>288</v>
      </c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19"/>
      <c r="B6" s="19" t="s">
        <v>295</v>
      </c>
      <c r="C6" s="19" t="s">
        <v>279</v>
      </c>
      <c r="D6" s="19" t="s">
        <v>284</v>
      </c>
      <c r="E6" s="19"/>
      <c r="F6" s="19" t="s">
        <v>285</v>
      </c>
      <c r="G6" s="19"/>
      <c r="H6" s="19" t="s">
        <v>296</v>
      </c>
      <c r="I6" s="19"/>
      <c r="J6" s="19" t="s">
        <v>297</v>
      </c>
      <c r="K6" s="19" t="s">
        <v>298</v>
      </c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19"/>
      <c r="B7" s="19" t="s">
        <v>299</v>
      </c>
      <c r="C7" s="19" t="s">
        <v>279</v>
      </c>
      <c r="D7" s="19" t="s">
        <v>284</v>
      </c>
      <c r="E7" s="19"/>
      <c r="F7" s="19" t="s">
        <v>285</v>
      </c>
      <c r="G7" s="19"/>
      <c r="H7" s="19" t="s">
        <v>300</v>
      </c>
      <c r="I7" s="19"/>
      <c r="J7" s="19" t="s">
        <v>301</v>
      </c>
      <c r="K7" s="19" t="s">
        <v>298</v>
      </c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5.75" customHeight="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5.7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5.7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5.7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5.7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7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5.7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7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5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5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5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5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5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5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5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5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5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printOptions/>
  <pageMargins bottom="0.75" footer="0.0" header="0.0" left="0.7" right="0.7" top="0.75"/>
  <pageSetup orientation="landscape"/>
  <drawing r:id="rId1"/>
</worksheet>
</file>