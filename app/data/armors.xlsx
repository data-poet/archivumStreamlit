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ors" sheetId="1" r:id="rId5"/>
    <sheet state="visible" name="shields" sheetId="2" r:id="rId6"/>
  </sheets>
  <definedNames/>
  <calcPr/>
</workbook>
</file>

<file path=xl/sharedStrings.xml><?xml version="1.0" encoding="utf-8"?>
<sst xmlns="http://schemas.openxmlformats.org/spreadsheetml/2006/main" count="533" uniqueCount="81">
  <si>
    <t>armor_id</t>
  </si>
  <si>
    <t>armor_box_name</t>
  </si>
  <si>
    <t>armor_name</t>
  </si>
  <si>
    <t>armor_piece_location</t>
  </si>
  <si>
    <t>armor_type</t>
  </si>
  <si>
    <t>armor_tier</t>
  </si>
  <si>
    <t>armor_damage_resistence</t>
  </si>
  <si>
    <t>armor_weight</t>
  </si>
  <si>
    <t>armor_price</t>
  </si>
  <si>
    <t>armor_description</t>
  </si>
  <si>
    <t>ARMOR-000</t>
  </si>
  <si>
    <t>Capuz</t>
  </si>
  <si>
    <t>Cabeça</t>
  </si>
  <si>
    <t>Leve</t>
  </si>
  <si>
    <t>Comum</t>
  </si>
  <si>
    <t xml:space="preserve">
- Capuz de tecido grosso ou couro leve, às vezes acolchoado. Oferece proteção básica contra impactos leves e cortes superficiais sem restringir a visão ou a audição.</t>
  </si>
  <si>
    <t>Boa</t>
  </si>
  <si>
    <t>Superior</t>
  </si>
  <si>
    <t>Excelente</t>
  </si>
  <si>
    <t>Obra-Prima</t>
  </si>
  <si>
    <t>Capacete</t>
  </si>
  <si>
    <t>Média</t>
  </si>
  <si>
    <t xml:space="preserve">
- Capacete metálico simples que protege o topo e as laterais da cabeça. Equilibra boa proteção com mobilidade e visibilidade adequadas para combate.</t>
  </si>
  <si>
    <t>Elmo</t>
  </si>
  <si>
    <t>Pesada</t>
  </si>
  <si>
    <t xml:space="preserve">
- Elmo de metal completo que envolve quase toda a cabeça, frequentemente com viseira ou proteção facial. Proporciona excelente defesa contra golpes, porém é mais pesado e restritivo.</t>
  </si>
  <si>
    <t>Gibão</t>
  </si>
  <si>
    <t>Tronco</t>
  </si>
  <si>
    <t xml:space="preserve">
- Armadura de tecido espesso com várias camadas de acolchoamento. Absorve impactos e oferece proteção razoável contra cortes leves, sendo confortável e flexível.</t>
  </si>
  <si>
    <t>Cota de Malha</t>
  </si>
  <si>
    <t xml:space="preserve">
- Malha composta por milhares de anéis metálicos entrelaçados. Muito eficiente contra cortes e razoavelmente resistente a golpes, embora mais pesada.</t>
  </si>
  <si>
    <t>Couraça de Placa</t>
  </si>
  <si>
    <t xml:space="preserve">
- Placas rígidas de metal moldadas para proteger o peito e as costas. Oferece alta proteção contra ataques físicos, sendo típica de guerreiros fortemente armadurados.</t>
  </si>
  <si>
    <t>Mangas Acolchoadas</t>
  </si>
  <si>
    <t>Braços</t>
  </si>
  <si>
    <t xml:space="preserve">
- Proteções de tecido grosso ou couro flexível que cobrem os braços. Oferecem leve absorção de impacto sem prejudicar a mobilidade.</t>
  </si>
  <si>
    <t>Braçadeiras</t>
  </si>
  <si>
    <t xml:space="preserve">
- Peças metálicas que protegem antebraços e parte do braço superior. Defendem contra golpes diretos mantendo boa liberdade de movimento.</t>
  </si>
  <si>
    <t>Braçais de Placa</t>
  </si>
  <si>
    <t xml:space="preserve">
- Segmentos articulados de metal que cobrem quase todo o braço. Oferecem proteção sólida contra cortes e impactos.</t>
  </si>
  <si>
    <t>Luvas</t>
  </si>
  <si>
    <t>Mãos</t>
  </si>
  <si>
    <t xml:space="preserve">
- Luvas reforçadas de couro grosso que protegem as mãos contra cortes leves e abrasões, mantendo destreza total.</t>
  </si>
  <si>
    <t>Manoplas de Malha</t>
  </si>
  <si>
    <t xml:space="preserve">
- Luvas feitas com malha metálica flexível, oferecendo boa proteção contra cortes enquanto ainda permitem manipular armas e objetos.</t>
  </si>
  <si>
    <t>Manoplas de placa</t>
  </si>
  <si>
    <t xml:space="preserve">
- Luvas metálicas articuladas compostas por placas sobrepostas. Garantem forte proteção aos dedos e mãos, mas são mais pesadas.</t>
  </si>
  <si>
    <t>Calças Acolchoadas</t>
  </si>
  <si>
    <t>Pernas</t>
  </si>
  <si>
    <t xml:space="preserve">
- Calças reforçadas com acolchoamento interno que ajudam a amortecer impactos leves e reduzir danos de cortes superficiais.</t>
  </si>
  <si>
    <t>Grevas de Malha</t>
  </si>
  <si>
    <t xml:space="preserve">
- Proteção de malha metálica que cobre pernas e coxas, oferecendo boa defesa contra ataques cortantes.</t>
  </si>
  <si>
    <t>Grevas de Placa</t>
  </si>
  <si>
    <t xml:space="preserve">
- Placas rígidas de metal que cobrem canelas e parte das pernas. Proporcionam excelente proteção contra golpes diretos.</t>
  </si>
  <si>
    <t>Botas</t>
  </si>
  <si>
    <t>Pés</t>
  </si>
  <si>
    <t xml:space="preserve">
- Botas resistentes de couro grosso que protegem os pés durante longas marchas e oferecem leve proteção em combate.</t>
  </si>
  <si>
    <t>Botas Reforçadas</t>
  </si>
  <si>
    <t xml:space="preserve">
- Botas com reforços metálicos ou camadas extras de couro rígido, oferecendo maior proteção sem comprometer totalmente a mobilidade.</t>
  </si>
  <si>
    <t>Sabatões de Placa</t>
  </si>
  <si>
    <t xml:space="preserve">
- Armaduras metálicas articuladas que cobrem completamente os pés. Fornecem máxima proteção contra impactos e esmagamentos.</t>
  </si>
  <si>
    <t>shield_id</t>
  </si>
  <si>
    <t>shield_box_name</t>
  </si>
  <si>
    <t>shield_name</t>
  </si>
  <si>
    <t>shield_type</t>
  </si>
  <si>
    <t>shield_tier</t>
  </si>
  <si>
    <t>shield_gdp_modifier</t>
  </si>
  <si>
    <t>shield_damage_resistence</t>
  </si>
  <si>
    <t>shield_hit_points</t>
  </si>
  <si>
    <t>shield_weight</t>
  </si>
  <si>
    <t>shield_price</t>
  </si>
  <si>
    <t>shield_description</t>
  </si>
  <si>
    <t>SHIELD-000</t>
  </si>
  <si>
    <t>Broquel</t>
  </si>
  <si>
    <t>O broquel é um pequeno escudo circular, leve e feito geralmente de metal (aço/ferro) ou madeira revestida, muito utilizado na Europa entre os séculos XII e XVII. Empunhado com uma alça central, era ágil e eficaz para combates corpo a corpo (frequentemente com espadas de uma mão) e proteção pessoal.</t>
  </si>
  <si>
    <t>Escudo</t>
  </si>
  <si>
    <t>Médio</t>
  </si>
  <si>
    <t>Instrumento de defesa pessoal usado em combate para bloquear ataques. Podendo ter diversas formas e ser fabricado dos mais diversos materiais.</t>
  </si>
  <si>
    <t>Escudo Torre</t>
  </si>
  <si>
    <t>Pesado</t>
  </si>
  <si>
    <t>Um escudo torre é um escudo grande, geralmente retangular, que cobre todo o corpo e foi projetado para oferecer máxima proteção, estendendo-se do ombro ao joelho ou ao pé. Normalmente feito de madeira, metal ou reforçado com couro, oferece defesa superior contra flechas e armas brancas, mas é pesado, volumoso e geralmente restringe a mobilidade.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</si>
</sst>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color theme="1"/>
      <name val="Arial"/>
      <scheme val="minor"/>
    </font>
    <font>
      <sz val="7.0"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2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2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 shrinkToFit="0" wrapText="1"/>
    </xf>
    <xf borderId="0" fillId="0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wrapText="1"/>
    </xf>
    <xf borderId="0" fillId="0" fontId="3" numFmtId="2" xfId="0" applyFont="1" applyNumberFormat="1"/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armo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1" displayName="Table_1" name="Table_1" id="1">
  <tableColumns count="10">
    <tableColumn name="armor_id" id="1"/>
    <tableColumn name="armor_box_name" id="2"/>
    <tableColumn name="armor_name" id="3"/>
    <tableColumn name="armor_piece_location" id="4"/>
    <tableColumn name="armor_type" id="5"/>
    <tableColumn name="armor_tier" id="6"/>
    <tableColumn name="armor_damage_resistence" id="7"/>
    <tableColumn name="armor_weight" id="8"/>
    <tableColumn name="armor_price" id="9"/>
    <tableColumn name="armor_description" id="10"/>
  </tableColumns>
  <tableStyleInfo name="arm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6.88"/>
    <col customWidth="1" min="3" max="3" width="16.88"/>
    <col customWidth="1" min="4" max="4" width="18.25"/>
    <col customWidth="1" min="5" max="5" width="10.13"/>
    <col customWidth="1" min="6" max="6" width="9.63"/>
    <col customWidth="1" min="7" max="7" width="22.13"/>
    <col customWidth="1" min="8" max="8" width="11.88"/>
    <col customWidth="1" min="9" max="9" width="10.63"/>
    <col customWidth="1" min="10" max="10" width="10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1" t="s">
        <v>10</v>
      </c>
      <c r="B2" s="3" t="str">
        <f t="shared" ref="B2:B91" si="1">CONCATENATE(C2, " | ", F2)</f>
        <v>Capuz | Comum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2.0</v>
      </c>
      <c r="H2" s="4">
        <v>1.5</v>
      </c>
      <c r="I2" s="3">
        <v>100.0</v>
      </c>
      <c r="J2" s="3" t="s">
        <v>15</v>
      </c>
    </row>
    <row r="3">
      <c r="A3" s="5" t="str">
        <f>IFERROR(__xludf.DUMMYFUNCTION("LEFT(A2, 6) &amp; TEXT(REGEXEXTRACT(A2, ""-(\d+)"") + 1, ""000"")"),"ARMOR-001")</f>
        <v>ARMOR-001</v>
      </c>
      <c r="B3" s="3" t="str">
        <f t="shared" si="1"/>
        <v>Capuz | Boa</v>
      </c>
      <c r="C3" s="3" t="s">
        <v>11</v>
      </c>
      <c r="D3" s="3" t="s">
        <v>12</v>
      </c>
      <c r="E3" s="3" t="s">
        <v>13</v>
      </c>
      <c r="F3" s="3" t="s">
        <v>16</v>
      </c>
      <c r="G3" s="3">
        <v>3.0</v>
      </c>
      <c r="H3" s="4">
        <v>1.4</v>
      </c>
      <c r="I3" s="3">
        <v>200.0</v>
      </c>
      <c r="J3" s="3" t="s">
        <v>15</v>
      </c>
    </row>
    <row r="4">
      <c r="A4" s="5" t="str">
        <f>IFERROR(__xludf.DUMMYFUNCTION("LEFT(A3, 6) &amp; TEXT(REGEXEXTRACT(A3, ""-(\d+)"") + 1, ""000"")"),"ARMOR-002")</f>
        <v>ARMOR-002</v>
      </c>
      <c r="B4" s="3" t="str">
        <f t="shared" si="1"/>
        <v>Capuz | Superior</v>
      </c>
      <c r="C4" s="3" t="s">
        <v>11</v>
      </c>
      <c r="D4" s="3" t="s">
        <v>12</v>
      </c>
      <c r="E4" s="3" t="s">
        <v>13</v>
      </c>
      <c r="F4" s="3" t="s">
        <v>17</v>
      </c>
      <c r="G4" s="3">
        <v>4.0</v>
      </c>
      <c r="H4" s="4">
        <v>1.3</v>
      </c>
      <c r="I4" s="3">
        <v>400.0</v>
      </c>
      <c r="J4" s="3" t="s">
        <v>15</v>
      </c>
    </row>
    <row r="5">
      <c r="A5" s="5" t="str">
        <f>IFERROR(__xludf.DUMMYFUNCTION("LEFT(A4, 6) &amp; TEXT(REGEXEXTRACT(A4, ""-(\d+)"") + 1, ""000"")"),"ARMOR-003")</f>
        <v>ARMOR-003</v>
      </c>
      <c r="B5" s="3" t="str">
        <f t="shared" si="1"/>
        <v>Capuz | Excelente</v>
      </c>
      <c r="C5" s="3" t="s">
        <v>11</v>
      </c>
      <c r="D5" s="3" t="s">
        <v>12</v>
      </c>
      <c r="E5" s="3" t="s">
        <v>13</v>
      </c>
      <c r="F5" s="3" t="s">
        <v>18</v>
      </c>
      <c r="G5" s="3">
        <v>5.0</v>
      </c>
      <c r="H5" s="4">
        <v>1.2</v>
      </c>
      <c r="I5" s="3">
        <v>800.0</v>
      </c>
      <c r="J5" s="3" t="s">
        <v>15</v>
      </c>
    </row>
    <row r="6">
      <c r="A6" s="5" t="str">
        <f>IFERROR(__xludf.DUMMYFUNCTION("LEFT(A5, 6) &amp; TEXT(REGEXEXTRACT(A5, ""-(\d+)"") + 1, ""000"")"),"ARMOR-004")</f>
        <v>ARMOR-004</v>
      </c>
      <c r="B6" s="3" t="str">
        <f t="shared" si="1"/>
        <v>Capuz | Obra-Prima</v>
      </c>
      <c r="C6" s="3" t="s">
        <v>11</v>
      </c>
      <c r="D6" s="3" t="s">
        <v>12</v>
      </c>
      <c r="E6" s="3" t="s">
        <v>13</v>
      </c>
      <c r="F6" s="3" t="s">
        <v>19</v>
      </c>
      <c r="G6" s="3">
        <v>6.0</v>
      </c>
      <c r="H6" s="4">
        <v>1.1</v>
      </c>
      <c r="I6" s="3">
        <v>1600.0</v>
      </c>
      <c r="J6" s="3" t="s">
        <v>15</v>
      </c>
    </row>
    <row r="7">
      <c r="A7" s="5" t="str">
        <f>IFERROR(__xludf.DUMMYFUNCTION("LEFT(A6, 6) &amp; TEXT(REGEXEXTRACT(A6, ""-(\d+)"") + 1, ""000"")"),"ARMOR-005")</f>
        <v>ARMOR-005</v>
      </c>
      <c r="B7" s="3" t="str">
        <f t="shared" si="1"/>
        <v>Capacete | Comum</v>
      </c>
      <c r="C7" s="3" t="s">
        <v>20</v>
      </c>
      <c r="D7" s="3" t="s">
        <v>12</v>
      </c>
      <c r="E7" s="3" t="s">
        <v>21</v>
      </c>
      <c r="F7" s="3" t="s">
        <v>14</v>
      </c>
      <c r="G7" s="3">
        <v>4.0</v>
      </c>
      <c r="H7" s="4">
        <v>2.5</v>
      </c>
      <c r="I7" s="3">
        <v>200.0</v>
      </c>
      <c r="J7" s="3" t="s">
        <v>22</v>
      </c>
    </row>
    <row r="8">
      <c r="A8" s="5" t="str">
        <f>IFERROR(__xludf.DUMMYFUNCTION("LEFT(A7, 6) &amp; TEXT(REGEXEXTRACT(A7, ""-(\d+)"") + 1, ""000"")"),"ARMOR-006")</f>
        <v>ARMOR-006</v>
      </c>
      <c r="B8" s="3" t="str">
        <f t="shared" si="1"/>
        <v>Capacete | Boa</v>
      </c>
      <c r="C8" s="3" t="s">
        <v>20</v>
      </c>
      <c r="D8" s="3" t="s">
        <v>12</v>
      </c>
      <c r="E8" s="3" t="s">
        <v>21</v>
      </c>
      <c r="F8" s="3" t="s">
        <v>16</v>
      </c>
      <c r="G8" s="3">
        <v>5.0</v>
      </c>
      <c r="H8" s="4">
        <v>2.4</v>
      </c>
      <c r="I8" s="3">
        <v>400.0</v>
      </c>
      <c r="J8" s="3" t="s">
        <v>22</v>
      </c>
    </row>
    <row r="9">
      <c r="A9" s="5" t="str">
        <f>IFERROR(__xludf.DUMMYFUNCTION("LEFT(A8, 6) &amp; TEXT(REGEXEXTRACT(A8, ""-(\d+)"") + 1, ""000"")"),"ARMOR-007")</f>
        <v>ARMOR-007</v>
      </c>
      <c r="B9" s="3" t="str">
        <f t="shared" si="1"/>
        <v>Capacete | Superior</v>
      </c>
      <c r="C9" s="3" t="s">
        <v>20</v>
      </c>
      <c r="D9" s="3" t="s">
        <v>12</v>
      </c>
      <c r="E9" s="3" t="s">
        <v>21</v>
      </c>
      <c r="F9" s="3" t="s">
        <v>17</v>
      </c>
      <c r="G9" s="3">
        <v>6.0</v>
      </c>
      <c r="H9" s="4">
        <v>2.3</v>
      </c>
      <c r="I9" s="3">
        <v>800.0</v>
      </c>
      <c r="J9" s="3" t="s">
        <v>22</v>
      </c>
    </row>
    <row r="10">
      <c r="A10" s="5" t="str">
        <f>IFERROR(__xludf.DUMMYFUNCTION("LEFT(A9, 6) &amp; TEXT(REGEXEXTRACT(A9, ""-(\d+)"") + 1, ""000"")"),"ARMOR-008")</f>
        <v>ARMOR-008</v>
      </c>
      <c r="B10" s="3" t="str">
        <f t="shared" si="1"/>
        <v>Capacete | Excelente</v>
      </c>
      <c r="C10" s="3" t="s">
        <v>20</v>
      </c>
      <c r="D10" s="3" t="s">
        <v>12</v>
      </c>
      <c r="E10" s="3" t="s">
        <v>21</v>
      </c>
      <c r="F10" s="3" t="s">
        <v>18</v>
      </c>
      <c r="G10" s="3">
        <v>7.0</v>
      </c>
      <c r="H10" s="4">
        <v>2.2</v>
      </c>
      <c r="I10" s="3">
        <v>1600.0</v>
      </c>
      <c r="J10" s="3" t="s">
        <v>22</v>
      </c>
    </row>
    <row r="11">
      <c r="A11" s="5" t="str">
        <f>IFERROR(__xludf.DUMMYFUNCTION("LEFT(A10, 6) &amp; TEXT(REGEXEXTRACT(A10, ""-(\d+)"") + 1, ""000"")"),"ARMOR-009")</f>
        <v>ARMOR-009</v>
      </c>
      <c r="B11" s="3" t="str">
        <f t="shared" si="1"/>
        <v>Capacete | Obra-Prima</v>
      </c>
      <c r="C11" s="3" t="s">
        <v>20</v>
      </c>
      <c r="D11" s="3" t="s">
        <v>12</v>
      </c>
      <c r="E11" s="3" t="s">
        <v>21</v>
      </c>
      <c r="F11" s="3" t="s">
        <v>19</v>
      </c>
      <c r="G11" s="3">
        <v>8.0</v>
      </c>
      <c r="H11" s="4">
        <v>2.1</v>
      </c>
      <c r="I11" s="3">
        <v>3200.0</v>
      </c>
      <c r="J11" s="3" t="s">
        <v>22</v>
      </c>
    </row>
    <row r="12">
      <c r="A12" s="5" t="str">
        <f>IFERROR(__xludf.DUMMYFUNCTION("LEFT(A11, 6) &amp; TEXT(REGEXEXTRACT(A11, ""-(\d+)"") + 1, ""000"")"),"ARMOR-010")</f>
        <v>ARMOR-010</v>
      </c>
      <c r="B12" s="3" t="str">
        <f t="shared" si="1"/>
        <v>Elmo | Comum</v>
      </c>
      <c r="C12" s="3" t="s">
        <v>23</v>
      </c>
      <c r="D12" s="3" t="s">
        <v>12</v>
      </c>
      <c r="E12" s="3" t="s">
        <v>24</v>
      </c>
      <c r="F12" s="3" t="s">
        <v>14</v>
      </c>
      <c r="G12" s="3">
        <v>6.0</v>
      </c>
      <c r="H12" s="4">
        <v>5.0</v>
      </c>
      <c r="I12" s="3">
        <v>400.0</v>
      </c>
      <c r="J12" s="3" t="s">
        <v>25</v>
      </c>
    </row>
    <row r="13">
      <c r="A13" s="5" t="str">
        <f>IFERROR(__xludf.DUMMYFUNCTION("LEFT(A12, 6) &amp; TEXT(REGEXEXTRACT(A12, ""-(\d+)"") + 1, ""000"")"),"ARMOR-011")</f>
        <v>ARMOR-011</v>
      </c>
      <c r="B13" s="3" t="str">
        <f t="shared" si="1"/>
        <v>Elmo | Boa</v>
      </c>
      <c r="C13" s="3" t="s">
        <v>23</v>
      </c>
      <c r="D13" s="3" t="s">
        <v>12</v>
      </c>
      <c r="E13" s="3" t="s">
        <v>24</v>
      </c>
      <c r="F13" s="3" t="s">
        <v>16</v>
      </c>
      <c r="G13" s="3">
        <v>7.0</v>
      </c>
      <c r="H13" s="4">
        <v>4.8</v>
      </c>
      <c r="I13" s="3">
        <v>800.0</v>
      </c>
      <c r="J13" s="3" t="s">
        <v>25</v>
      </c>
    </row>
    <row r="14">
      <c r="A14" s="5" t="str">
        <f>IFERROR(__xludf.DUMMYFUNCTION("LEFT(A13, 6) &amp; TEXT(REGEXEXTRACT(A13, ""-(\d+)"") + 1, ""000"")"),"ARMOR-012")</f>
        <v>ARMOR-012</v>
      </c>
      <c r="B14" s="3" t="str">
        <f t="shared" si="1"/>
        <v>Elmo | Superior</v>
      </c>
      <c r="C14" s="3" t="s">
        <v>23</v>
      </c>
      <c r="D14" s="3" t="s">
        <v>12</v>
      </c>
      <c r="E14" s="3" t="s">
        <v>24</v>
      </c>
      <c r="F14" s="3" t="s">
        <v>17</v>
      </c>
      <c r="G14" s="3">
        <v>8.0</v>
      </c>
      <c r="H14" s="4">
        <v>4.6</v>
      </c>
      <c r="I14" s="3">
        <v>1600.0</v>
      </c>
      <c r="J14" s="3" t="s">
        <v>25</v>
      </c>
    </row>
    <row r="15">
      <c r="A15" s="5" t="str">
        <f>IFERROR(__xludf.DUMMYFUNCTION("LEFT(A14, 6) &amp; TEXT(REGEXEXTRACT(A14, ""-(\d+)"") + 1, ""000"")"),"ARMOR-013")</f>
        <v>ARMOR-013</v>
      </c>
      <c r="B15" s="3" t="str">
        <f t="shared" si="1"/>
        <v>Elmo | Excelente</v>
      </c>
      <c r="C15" s="3" t="s">
        <v>23</v>
      </c>
      <c r="D15" s="3" t="s">
        <v>12</v>
      </c>
      <c r="E15" s="3" t="s">
        <v>24</v>
      </c>
      <c r="F15" s="3" t="s">
        <v>18</v>
      </c>
      <c r="G15" s="3">
        <v>9.0</v>
      </c>
      <c r="H15" s="4">
        <v>4.4</v>
      </c>
      <c r="I15" s="3">
        <v>3200.0</v>
      </c>
      <c r="J15" s="3" t="s">
        <v>25</v>
      </c>
    </row>
    <row r="16">
      <c r="A16" s="5" t="str">
        <f>IFERROR(__xludf.DUMMYFUNCTION("LEFT(A15, 6) &amp; TEXT(REGEXEXTRACT(A15, ""-(\d+)"") + 1, ""000"")"),"ARMOR-014")</f>
        <v>ARMOR-014</v>
      </c>
      <c r="B16" s="3" t="str">
        <f t="shared" si="1"/>
        <v>Elmo | Obra-Prima</v>
      </c>
      <c r="C16" s="3" t="s">
        <v>23</v>
      </c>
      <c r="D16" s="3" t="s">
        <v>12</v>
      </c>
      <c r="E16" s="3" t="s">
        <v>24</v>
      </c>
      <c r="F16" s="3" t="s">
        <v>19</v>
      </c>
      <c r="G16" s="3">
        <v>10.0</v>
      </c>
      <c r="H16" s="4">
        <v>4.2</v>
      </c>
      <c r="I16" s="3">
        <v>6400.0</v>
      </c>
      <c r="J16" s="3" t="s">
        <v>25</v>
      </c>
    </row>
    <row r="17">
      <c r="A17" s="5" t="str">
        <f>IFERROR(__xludf.DUMMYFUNCTION("LEFT(A16, 6) &amp; TEXT(REGEXEXTRACT(A16, ""-(\d+)"") + 1, ""000"")"),"ARMOR-015")</f>
        <v>ARMOR-015</v>
      </c>
      <c r="B17" s="3" t="str">
        <f t="shared" si="1"/>
        <v>Gibão | Comum</v>
      </c>
      <c r="C17" s="3" t="s">
        <v>26</v>
      </c>
      <c r="D17" s="3" t="s">
        <v>27</v>
      </c>
      <c r="E17" s="3" t="s">
        <v>13</v>
      </c>
      <c r="F17" s="3" t="s">
        <v>14</v>
      </c>
      <c r="G17" s="3">
        <v>3.0</v>
      </c>
      <c r="H17" s="4">
        <v>5.0</v>
      </c>
      <c r="I17" s="3">
        <v>400.0</v>
      </c>
      <c r="J17" s="3" t="s">
        <v>28</v>
      </c>
      <c r="L17" s="6"/>
    </row>
    <row r="18">
      <c r="A18" s="5" t="str">
        <f>IFERROR(__xludf.DUMMYFUNCTION("LEFT(A17, 6) &amp; TEXT(REGEXEXTRACT(A17, ""-(\d+)"") + 1, ""000"")"),"ARMOR-016")</f>
        <v>ARMOR-016</v>
      </c>
      <c r="B18" s="3" t="str">
        <f t="shared" si="1"/>
        <v>Gibão | Boa</v>
      </c>
      <c r="C18" s="3" t="s">
        <v>26</v>
      </c>
      <c r="D18" s="3" t="s">
        <v>27</v>
      </c>
      <c r="E18" s="3" t="s">
        <v>13</v>
      </c>
      <c r="F18" s="3" t="s">
        <v>16</v>
      </c>
      <c r="G18" s="3">
        <v>4.0</v>
      </c>
      <c r="H18" s="4">
        <v>4.8</v>
      </c>
      <c r="I18" s="3">
        <v>800.0</v>
      </c>
      <c r="J18" s="3" t="s">
        <v>28</v>
      </c>
      <c r="L18" s="6"/>
    </row>
    <row r="19">
      <c r="A19" s="5" t="str">
        <f>IFERROR(__xludf.DUMMYFUNCTION("LEFT(A18, 6) &amp; TEXT(REGEXEXTRACT(A18, ""-(\d+)"") + 1, ""000"")"),"ARMOR-017")</f>
        <v>ARMOR-017</v>
      </c>
      <c r="B19" s="3" t="str">
        <f t="shared" si="1"/>
        <v>Gibão | Superior</v>
      </c>
      <c r="C19" s="3" t="s">
        <v>26</v>
      </c>
      <c r="D19" s="3" t="s">
        <v>27</v>
      </c>
      <c r="E19" s="3" t="s">
        <v>13</v>
      </c>
      <c r="F19" s="3" t="s">
        <v>17</v>
      </c>
      <c r="G19" s="3">
        <v>5.0</v>
      </c>
      <c r="H19" s="4">
        <v>4.6</v>
      </c>
      <c r="I19" s="3">
        <v>1600.0</v>
      </c>
      <c r="J19" s="3" t="s">
        <v>28</v>
      </c>
      <c r="L19" s="6"/>
    </row>
    <row r="20">
      <c r="A20" s="5" t="str">
        <f>IFERROR(__xludf.DUMMYFUNCTION("LEFT(A19, 6) &amp; TEXT(REGEXEXTRACT(A19, ""-(\d+)"") + 1, ""000"")"),"ARMOR-018")</f>
        <v>ARMOR-018</v>
      </c>
      <c r="B20" s="3" t="str">
        <f t="shared" si="1"/>
        <v>Gibão | Excelente</v>
      </c>
      <c r="C20" s="3" t="s">
        <v>26</v>
      </c>
      <c r="D20" s="3" t="s">
        <v>27</v>
      </c>
      <c r="E20" s="3" t="s">
        <v>13</v>
      </c>
      <c r="F20" s="3" t="s">
        <v>18</v>
      </c>
      <c r="G20" s="3">
        <v>6.0</v>
      </c>
      <c r="H20" s="4">
        <v>4.4</v>
      </c>
      <c r="I20" s="3">
        <v>3200.0</v>
      </c>
      <c r="J20" s="3" t="s">
        <v>28</v>
      </c>
      <c r="L20" s="6"/>
    </row>
    <row r="21">
      <c r="A21" s="5" t="str">
        <f>IFERROR(__xludf.DUMMYFUNCTION("LEFT(A20, 6) &amp; TEXT(REGEXEXTRACT(A20, ""-(\d+)"") + 1, ""000"")"),"ARMOR-019")</f>
        <v>ARMOR-019</v>
      </c>
      <c r="B21" s="3" t="str">
        <f t="shared" si="1"/>
        <v>Gibão | Obra-Prima</v>
      </c>
      <c r="C21" s="3" t="s">
        <v>26</v>
      </c>
      <c r="D21" s="3" t="s">
        <v>27</v>
      </c>
      <c r="E21" s="3" t="s">
        <v>13</v>
      </c>
      <c r="F21" s="3" t="s">
        <v>19</v>
      </c>
      <c r="G21" s="3">
        <v>7.0</v>
      </c>
      <c r="H21" s="4">
        <v>4.2</v>
      </c>
      <c r="I21" s="3">
        <v>6400.0</v>
      </c>
      <c r="J21" s="3" t="s">
        <v>28</v>
      </c>
      <c r="L21" s="7"/>
    </row>
    <row r="22">
      <c r="A22" s="5" t="str">
        <f>IFERROR(__xludf.DUMMYFUNCTION("LEFT(A21, 6) &amp; TEXT(REGEXEXTRACT(A21, ""-(\d+)"") + 1, ""000"")"),"ARMOR-020")</f>
        <v>ARMOR-020</v>
      </c>
      <c r="B22" s="3" t="str">
        <f t="shared" si="1"/>
        <v>Cota de Malha | Comum</v>
      </c>
      <c r="C22" s="3" t="s">
        <v>29</v>
      </c>
      <c r="D22" s="3" t="s">
        <v>27</v>
      </c>
      <c r="E22" s="3" t="s">
        <v>21</v>
      </c>
      <c r="F22" s="3" t="s">
        <v>14</v>
      </c>
      <c r="G22" s="3">
        <v>5.0</v>
      </c>
      <c r="H22" s="8">
        <v>8.0</v>
      </c>
      <c r="I22" s="3">
        <v>800.0</v>
      </c>
      <c r="J22" s="3" t="s">
        <v>30</v>
      </c>
      <c r="L22" s="7"/>
    </row>
    <row r="23">
      <c r="A23" s="5" t="str">
        <f>IFERROR(__xludf.DUMMYFUNCTION("LEFT(A22, 6) &amp; TEXT(REGEXEXTRACT(A22, ""-(\d+)"") + 1, ""000"")"),"ARMOR-021")</f>
        <v>ARMOR-021</v>
      </c>
      <c r="B23" s="3" t="str">
        <f t="shared" si="1"/>
        <v>Cota de Malha | Boa</v>
      </c>
      <c r="C23" s="3" t="s">
        <v>29</v>
      </c>
      <c r="D23" s="3" t="s">
        <v>27</v>
      </c>
      <c r="E23" s="3" t="s">
        <v>21</v>
      </c>
      <c r="F23" s="3" t="s">
        <v>16</v>
      </c>
      <c r="G23" s="3">
        <v>7.0</v>
      </c>
      <c r="H23" s="8">
        <v>8.9</v>
      </c>
      <c r="I23" s="3">
        <v>1600.0</v>
      </c>
      <c r="J23" s="3" t="s">
        <v>30</v>
      </c>
      <c r="L23" s="7"/>
    </row>
    <row r="24">
      <c r="A24" s="5" t="str">
        <f>IFERROR(__xludf.DUMMYFUNCTION("LEFT(A23, 6) &amp; TEXT(REGEXEXTRACT(A23, ""-(\d+)"") + 1, ""000"")"),"ARMOR-022")</f>
        <v>ARMOR-022</v>
      </c>
      <c r="B24" s="3" t="str">
        <f t="shared" si="1"/>
        <v>Cota de Malha | Superior</v>
      </c>
      <c r="C24" s="3" t="s">
        <v>29</v>
      </c>
      <c r="D24" s="3" t="s">
        <v>27</v>
      </c>
      <c r="E24" s="3" t="s">
        <v>21</v>
      </c>
      <c r="F24" s="3" t="s">
        <v>17</v>
      </c>
      <c r="G24" s="3">
        <v>9.0</v>
      </c>
      <c r="H24" s="8">
        <v>8.8</v>
      </c>
      <c r="I24" s="3">
        <v>3200.0</v>
      </c>
      <c r="J24" s="3" t="s">
        <v>30</v>
      </c>
      <c r="L24" s="7"/>
    </row>
    <row r="25">
      <c r="A25" s="5" t="str">
        <f>IFERROR(__xludf.DUMMYFUNCTION("LEFT(A24, 6) &amp; TEXT(REGEXEXTRACT(A24, ""-(\d+)"") + 1, ""000"")"),"ARMOR-023")</f>
        <v>ARMOR-023</v>
      </c>
      <c r="B25" s="3" t="str">
        <f t="shared" si="1"/>
        <v>Cota de Malha | Excelente</v>
      </c>
      <c r="C25" s="3" t="s">
        <v>29</v>
      </c>
      <c r="D25" s="3" t="s">
        <v>27</v>
      </c>
      <c r="E25" s="3" t="s">
        <v>21</v>
      </c>
      <c r="F25" s="3" t="s">
        <v>18</v>
      </c>
      <c r="G25" s="3">
        <v>11.0</v>
      </c>
      <c r="H25" s="8">
        <v>8.7</v>
      </c>
      <c r="I25" s="3">
        <v>6400.0</v>
      </c>
      <c r="J25" s="3" t="s">
        <v>30</v>
      </c>
      <c r="L25" s="7"/>
    </row>
    <row r="26">
      <c r="A26" s="5" t="str">
        <f>IFERROR(__xludf.DUMMYFUNCTION("LEFT(A25, 6) &amp; TEXT(REGEXEXTRACT(A25, ""-(\d+)"") + 1, ""000"")"),"ARMOR-024")</f>
        <v>ARMOR-024</v>
      </c>
      <c r="B26" s="3" t="str">
        <f t="shared" si="1"/>
        <v>Cota de Malha | Obra-Prima</v>
      </c>
      <c r="C26" s="3" t="s">
        <v>29</v>
      </c>
      <c r="D26" s="3" t="s">
        <v>27</v>
      </c>
      <c r="E26" s="3" t="s">
        <v>21</v>
      </c>
      <c r="F26" s="3" t="s">
        <v>19</v>
      </c>
      <c r="G26" s="3">
        <v>13.0</v>
      </c>
      <c r="H26" s="8">
        <v>8.6</v>
      </c>
      <c r="I26" s="3">
        <v>12800.0</v>
      </c>
      <c r="J26" s="3" t="s">
        <v>30</v>
      </c>
    </row>
    <row r="27">
      <c r="A27" s="5" t="str">
        <f>IFERROR(__xludf.DUMMYFUNCTION("LEFT(A26, 6) &amp; TEXT(REGEXEXTRACT(A26, ""-(\d+)"") + 1, ""000"")"),"ARMOR-025")</f>
        <v>ARMOR-025</v>
      </c>
      <c r="B27" s="3" t="str">
        <f t="shared" si="1"/>
        <v>Couraça de Placa | Comum</v>
      </c>
      <c r="C27" s="3" t="s">
        <v>31</v>
      </c>
      <c r="D27" s="3" t="s">
        <v>27</v>
      </c>
      <c r="E27" s="3" t="s">
        <v>24</v>
      </c>
      <c r="F27" s="3" t="s">
        <v>14</v>
      </c>
      <c r="G27" s="3">
        <v>12.0</v>
      </c>
      <c r="H27" s="4">
        <v>12.0</v>
      </c>
      <c r="I27" s="3">
        <v>1600.0</v>
      </c>
      <c r="J27" s="3" t="s">
        <v>32</v>
      </c>
    </row>
    <row r="28">
      <c r="A28" s="5" t="str">
        <f>IFERROR(__xludf.DUMMYFUNCTION("LEFT(A27, 6) &amp; TEXT(REGEXEXTRACT(A27, ""-(\d+)"") + 1, ""000"")"),"ARMOR-026")</f>
        <v>ARMOR-026</v>
      </c>
      <c r="B28" s="3" t="str">
        <f t="shared" si="1"/>
        <v>Couraça de Placa | Boa</v>
      </c>
      <c r="C28" s="3" t="s">
        <v>31</v>
      </c>
      <c r="D28" s="3" t="s">
        <v>27</v>
      </c>
      <c r="E28" s="3" t="s">
        <v>24</v>
      </c>
      <c r="F28" s="3" t="s">
        <v>16</v>
      </c>
      <c r="G28" s="3">
        <v>14.0</v>
      </c>
      <c r="H28" s="4">
        <v>11.8</v>
      </c>
      <c r="I28" s="3">
        <v>3200.0</v>
      </c>
      <c r="J28" s="3" t="s">
        <v>32</v>
      </c>
    </row>
    <row r="29">
      <c r="A29" s="5" t="str">
        <f>IFERROR(__xludf.DUMMYFUNCTION("LEFT(A28, 6) &amp; TEXT(REGEXEXTRACT(A28, ""-(\d+)"") + 1, ""000"")"),"ARMOR-027")</f>
        <v>ARMOR-027</v>
      </c>
      <c r="B29" s="3" t="str">
        <f t="shared" si="1"/>
        <v>Couraça de Placa | Superior</v>
      </c>
      <c r="C29" s="3" t="s">
        <v>31</v>
      </c>
      <c r="D29" s="3" t="s">
        <v>27</v>
      </c>
      <c r="E29" s="3" t="s">
        <v>24</v>
      </c>
      <c r="F29" s="3" t="s">
        <v>17</v>
      </c>
      <c r="G29" s="3">
        <v>16.0</v>
      </c>
      <c r="H29" s="4">
        <v>11.6</v>
      </c>
      <c r="I29" s="3">
        <v>6400.0</v>
      </c>
      <c r="J29" s="3" t="s">
        <v>32</v>
      </c>
    </row>
    <row r="30">
      <c r="A30" s="5" t="str">
        <f>IFERROR(__xludf.DUMMYFUNCTION("LEFT(A29, 6) &amp; TEXT(REGEXEXTRACT(A29, ""-(\d+)"") + 1, ""000"")"),"ARMOR-028")</f>
        <v>ARMOR-028</v>
      </c>
      <c r="B30" s="3" t="str">
        <f t="shared" si="1"/>
        <v>Couraça de Placa | Excelente</v>
      </c>
      <c r="C30" s="3" t="s">
        <v>31</v>
      </c>
      <c r="D30" s="3" t="s">
        <v>27</v>
      </c>
      <c r="E30" s="3" t="s">
        <v>24</v>
      </c>
      <c r="F30" s="3" t="s">
        <v>18</v>
      </c>
      <c r="G30" s="3">
        <v>18.0</v>
      </c>
      <c r="H30" s="4">
        <v>11.4</v>
      </c>
      <c r="I30" s="3">
        <v>12800.0</v>
      </c>
      <c r="J30" s="3" t="s">
        <v>32</v>
      </c>
    </row>
    <row r="31">
      <c r="A31" s="5" t="str">
        <f>IFERROR(__xludf.DUMMYFUNCTION("LEFT(A30, 6) &amp; TEXT(REGEXEXTRACT(A30, ""-(\d+)"") + 1, ""000"")"),"ARMOR-029")</f>
        <v>ARMOR-029</v>
      </c>
      <c r="B31" s="3" t="str">
        <f t="shared" si="1"/>
        <v>Couraça de Placa | Obra-Prima</v>
      </c>
      <c r="C31" s="3" t="s">
        <v>31</v>
      </c>
      <c r="D31" s="3" t="s">
        <v>27</v>
      </c>
      <c r="E31" s="3" t="s">
        <v>24</v>
      </c>
      <c r="F31" s="3" t="s">
        <v>19</v>
      </c>
      <c r="G31" s="3">
        <v>20.0</v>
      </c>
      <c r="H31" s="4">
        <v>11.2</v>
      </c>
      <c r="I31" s="3">
        <v>25600.0</v>
      </c>
      <c r="J31" s="3" t="s">
        <v>32</v>
      </c>
    </row>
    <row r="32">
      <c r="A32" s="5" t="str">
        <f>IFERROR(__xludf.DUMMYFUNCTION("LEFT(A31, 6) &amp; TEXT(REGEXEXTRACT(A31, ""-(\d+)"") + 1, ""000"")"),"ARMOR-030")</f>
        <v>ARMOR-030</v>
      </c>
      <c r="B32" s="3" t="str">
        <f t="shared" si="1"/>
        <v>Mangas Acolchoadas | Comum</v>
      </c>
      <c r="C32" s="3" t="s">
        <v>33</v>
      </c>
      <c r="D32" s="3" t="s">
        <v>34</v>
      </c>
      <c r="E32" s="3" t="s">
        <v>13</v>
      </c>
      <c r="F32" s="3" t="s">
        <v>14</v>
      </c>
      <c r="G32" s="3">
        <v>2.0</v>
      </c>
      <c r="H32" s="4">
        <v>1.5</v>
      </c>
      <c r="I32" s="3">
        <v>200.0</v>
      </c>
      <c r="J32" s="3" t="s">
        <v>35</v>
      </c>
    </row>
    <row r="33">
      <c r="A33" s="5" t="str">
        <f>IFERROR(__xludf.DUMMYFUNCTION("LEFT(A32, 6) &amp; TEXT(REGEXEXTRACT(A32, ""-(\d+)"") + 1, ""000"")"),"ARMOR-031")</f>
        <v>ARMOR-031</v>
      </c>
      <c r="B33" s="3" t="str">
        <f t="shared" si="1"/>
        <v>Mangas Acolchoadas | Boa</v>
      </c>
      <c r="C33" s="3" t="s">
        <v>33</v>
      </c>
      <c r="D33" s="3" t="s">
        <v>34</v>
      </c>
      <c r="E33" s="3" t="s">
        <v>13</v>
      </c>
      <c r="F33" s="3" t="s">
        <v>16</v>
      </c>
      <c r="G33" s="3">
        <v>3.0</v>
      </c>
      <c r="H33" s="4">
        <v>1.4</v>
      </c>
      <c r="I33" s="3">
        <v>400.0</v>
      </c>
      <c r="J33" s="3" t="s">
        <v>35</v>
      </c>
    </row>
    <row r="34">
      <c r="A34" s="5" t="str">
        <f>IFERROR(__xludf.DUMMYFUNCTION("LEFT(A33, 6) &amp; TEXT(REGEXEXTRACT(A33, ""-(\d+)"") + 1, ""000"")"),"ARMOR-032")</f>
        <v>ARMOR-032</v>
      </c>
      <c r="B34" s="3" t="str">
        <f t="shared" si="1"/>
        <v>Mangas Acolchoadas | Superior</v>
      </c>
      <c r="C34" s="3" t="s">
        <v>33</v>
      </c>
      <c r="D34" s="3" t="s">
        <v>34</v>
      </c>
      <c r="E34" s="3" t="s">
        <v>13</v>
      </c>
      <c r="F34" s="3" t="s">
        <v>17</v>
      </c>
      <c r="G34" s="3">
        <v>4.0</v>
      </c>
      <c r="H34" s="4">
        <v>1.3</v>
      </c>
      <c r="I34" s="3">
        <v>800.0</v>
      </c>
      <c r="J34" s="3" t="s">
        <v>35</v>
      </c>
    </row>
    <row r="35">
      <c r="A35" s="5" t="str">
        <f>IFERROR(__xludf.DUMMYFUNCTION("LEFT(A34, 6) &amp; TEXT(REGEXEXTRACT(A34, ""-(\d+)"") + 1, ""000"")"),"ARMOR-033")</f>
        <v>ARMOR-033</v>
      </c>
      <c r="B35" s="3" t="str">
        <f t="shared" si="1"/>
        <v>Mangas Acolchoadas | Excelente</v>
      </c>
      <c r="C35" s="3" t="s">
        <v>33</v>
      </c>
      <c r="D35" s="3" t="s">
        <v>34</v>
      </c>
      <c r="E35" s="3" t="s">
        <v>13</v>
      </c>
      <c r="F35" s="3" t="s">
        <v>18</v>
      </c>
      <c r="G35" s="3">
        <v>5.0</v>
      </c>
      <c r="H35" s="4">
        <v>1.2</v>
      </c>
      <c r="I35" s="3">
        <v>1600.0</v>
      </c>
      <c r="J35" s="3" t="s">
        <v>35</v>
      </c>
    </row>
    <row r="36">
      <c r="A36" s="5" t="str">
        <f>IFERROR(__xludf.DUMMYFUNCTION("LEFT(A35, 6) &amp; TEXT(REGEXEXTRACT(A35, ""-(\d+)"") + 1, ""000"")"),"ARMOR-034")</f>
        <v>ARMOR-034</v>
      </c>
      <c r="B36" s="3" t="str">
        <f t="shared" si="1"/>
        <v>Mangas Acolchoadas | Obra-Prima</v>
      </c>
      <c r="C36" s="3" t="s">
        <v>33</v>
      </c>
      <c r="D36" s="3" t="s">
        <v>34</v>
      </c>
      <c r="E36" s="3" t="s">
        <v>13</v>
      </c>
      <c r="F36" s="3" t="s">
        <v>19</v>
      </c>
      <c r="G36" s="3">
        <v>6.0</v>
      </c>
      <c r="H36" s="4">
        <v>1.1</v>
      </c>
      <c r="I36" s="3">
        <v>3200.0</v>
      </c>
      <c r="J36" s="3" t="s">
        <v>35</v>
      </c>
    </row>
    <row r="37">
      <c r="A37" s="5" t="str">
        <f>IFERROR(__xludf.DUMMYFUNCTION("LEFT(A36, 6) &amp; TEXT(REGEXEXTRACT(A36, ""-(\d+)"") + 1, ""000"")"),"ARMOR-035")</f>
        <v>ARMOR-035</v>
      </c>
      <c r="B37" s="3" t="str">
        <f t="shared" si="1"/>
        <v>Braçadeiras | Comum</v>
      </c>
      <c r="C37" s="3" t="s">
        <v>36</v>
      </c>
      <c r="D37" s="3" t="s">
        <v>34</v>
      </c>
      <c r="E37" s="3" t="s">
        <v>21</v>
      </c>
      <c r="F37" s="3" t="s">
        <v>14</v>
      </c>
      <c r="G37" s="3">
        <v>4.0</v>
      </c>
      <c r="H37" s="4">
        <v>2.5</v>
      </c>
      <c r="I37" s="3">
        <v>400.0</v>
      </c>
      <c r="J37" s="3" t="s">
        <v>37</v>
      </c>
    </row>
    <row r="38">
      <c r="A38" s="5" t="str">
        <f>IFERROR(__xludf.DUMMYFUNCTION("LEFT(A37, 6) &amp; TEXT(REGEXEXTRACT(A37, ""-(\d+)"") + 1, ""000"")"),"ARMOR-036")</f>
        <v>ARMOR-036</v>
      </c>
      <c r="B38" s="3" t="str">
        <f t="shared" si="1"/>
        <v>Braçadeiras | Boa</v>
      </c>
      <c r="C38" s="3" t="s">
        <v>36</v>
      </c>
      <c r="D38" s="3" t="s">
        <v>34</v>
      </c>
      <c r="E38" s="3" t="s">
        <v>21</v>
      </c>
      <c r="F38" s="3" t="s">
        <v>16</v>
      </c>
      <c r="G38" s="3">
        <v>5.0</v>
      </c>
      <c r="H38" s="4">
        <v>2.4</v>
      </c>
      <c r="I38" s="3">
        <v>800.0</v>
      </c>
      <c r="J38" s="3" t="s">
        <v>37</v>
      </c>
    </row>
    <row r="39">
      <c r="A39" s="5" t="str">
        <f>IFERROR(__xludf.DUMMYFUNCTION("LEFT(A38, 6) &amp; TEXT(REGEXEXTRACT(A38, ""-(\d+)"") + 1, ""000"")"),"ARMOR-037")</f>
        <v>ARMOR-037</v>
      </c>
      <c r="B39" s="3" t="str">
        <f t="shared" si="1"/>
        <v>Braçadeiras | Superior</v>
      </c>
      <c r="C39" s="3" t="s">
        <v>36</v>
      </c>
      <c r="D39" s="3" t="s">
        <v>34</v>
      </c>
      <c r="E39" s="3" t="s">
        <v>21</v>
      </c>
      <c r="F39" s="3" t="s">
        <v>17</v>
      </c>
      <c r="G39" s="3">
        <v>6.0</v>
      </c>
      <c r="H39" s="4">
        <v>2.3</v>
      </c>
      <c r="I39" s="3">
        <v>1600.0</v>
      </c>
      <c r="J39" s="3" t="s">
        <v>37</v>
      </c>
    </row>
    <row r="40">
      <c r="A40" s="5" t="str">
        <f>IFERROR(__xludf.DUMMYFUNCTION("LEFT(A39, 6) &amp; TEXT(REGEXEXTRACT(A39, ""-(\d+)"") + 1, ""000"")"),"ARMOR-038")</f>
        <v>ARMOR-038</v>
      </c>
      <c r="B40" s="3" t="str">
        <f t="shared" si="1"/>
        <v>Braçadeiras | Excelente</v>
      </c>
      <c r="C40" s="3" t="s">
        <v>36</v>
      </c>
      <c r="D40" s="3" t="s">
        <v>34</v>
      </c>
      <c r="E40" s="3" t="s">
        <v>21</v>
      </c>
      <c r="F40" s="3" t="s">
        <v>18</v>
      </c>
      <c r="G40" s="3">
        <v>7.0</v>
      </c>
      <c r="H40" s="4">
        <v>2.2</v>
      </c>
      <c r="I40" s="3">
        <v>3200.0</v>
      </c>
      <c r="J40" s="3" t="s">
        <v>37</v>
      </c>
    </row>
    <row r="41">
      <c r="A41" s="5" t="str">
        <f>IFERROR(__xludf.DUMMYFUNCTION("LEFT(A40, 6) &amp; TEXT(REGEXEXTRACT(A40, ""-(\d+)"") + 1, ""000"")"),"ARMOR-039")</f>
        <v>ARMOR-039</v>
      </c>
      <c r="B41" s="3" t="str">
        <f t="shared" si="1"/>
        <v>Braçadeiras | Obra-Prima</v>
      </c>
      <c r="C41" s="3" t="s">
        <v>36</v>
      </c>
      <c r="D41" s="3" t="s">
        <v>34</v>
      </c>
      <c r="E41" s="3" t="s">
        <v>21</v>
      </c>
      <c r="F41" s="3" t="s">
        <v>19</v>
      </c>
      <c r="G41" s="3">
        <v>8.0</v>
      </c>
      <c r="H41" s="4">
        <v>2.1</v>
      </c>
      <c r="I41" s="3">
        <v>6400.0</v>
      </c>
      <c r="J41" s="3" t="s">
        <v>37</v>
      </c>
    </row>
    <row r="42">
      <c r="A42" s="5" t="str">
        <f>IFERROR(__xludf.DUMMYFUNCTION("LEFT(A41, 6) &amp; TEXT(REGEXEXTRACT(A41, ""-(\d+)"") + 1, ""000"")"),"ARMOR-040")</f>
        <v>ARMOR-040</v>
      </c>
      <c r="B42" s="3" t="str">
        <f t="shared" si="1"/>
        <v>Braçais de Placa | Comum</v>
      </c>
      <c r="C42" s="3" t="s">
        <v>38</v>
      </c>
      <c r="D42" s="3" t="s">
        <v>34</v>
      </c>
      <c r="E42" s="3" t="s">
        <v>24</v>
      </c>
      <c r="F42" s="3" t="s">
        <v>14</v>
      </c>
      <c r="G42" s="3">
        <v>6.0</v>
      </c>
      <c r="H42" s="4">
        <v>5.0</v>
      </c>
      <c r="I42" s="9">
        <v>800.0</v>
      </c>
      <c r="J42" s="3" t="s">
        <v>39</v>
      </c>
    </row>
    <row r="43">
      <c r="A43" s="5" t="str">
        <f>IFERROR(__xludf.DUMMYFUNCTION("LEFT(A42, 6) &amp; TEXT(REGEXEXTRACT(A42, ""-(\d+)"") + 1, ""000"")"),"ARMOR-041")</f>
        <v>ARMOR-041</v>
      </c>
      <c r="B43" s="3" t="str">
        <f t="shared" si="1"/>
        <v>Braçais de Placa | Boa</v>
      </c>
      <c r="C43" s="3" t="s">
        <v>38</v>
      </c>
      <c r="D43" s="3" t="s">
        <v>34</v>
      </c>
      <c r="E43" s="3" t="s">
        <v>24</v>
      </c>
      <c r="F43" s="3" t="s">
        <v>16</v>
      </c>
      <c r="G43" s="3">
        <v>7.0</v>
      </c>
      <c r="H43" s="4">
        <v>4.8</v>
      </c>
      <c r="I43" s="9">
        <v>1600.0</v>
      </c>
      <c r="J43" s="3" t="s">
        <v>39</v>
      </c>
    </row>
    <row r="44">
      <c r="A44" s="5" t="str">
        <f>IFERROR(__xludf.DUMMYFUNCTION("LEFT(A43, 6) &amp; TEXT(REGEXEXTRACT(A43, ""-(\d+)"") + 1, ""000"")"),"ARMOR-042")</f>
        <v>ARMOR-042</v>
      </c>
      <c r="B44" s="3" t="str">
        <f t="shared" si="1"/>
        <v>Braçais de Placa | Superior</v>
      </c>
      <c r="C44" s="3" t="s">
        <v>38</v>
      </c>
      <c r="D44" s="3" t="s">
        <v>34</v>
      </c>
      <c r="E44" s="3" t="s">
        <v>24</v>
      </c>
      <c r="F44" s="3" t="s">
        <v>17</v>
      </c>
      <c r="G44" s="3">
        <v>8.0</v>
      </c>
      <c r="H44" s="4">
        <v>4.6</v>
      </c>
      <c r="I44" s="9">
        <v>3200.0</v>
      </c>
      <c r="J44" s="3" t="s">
        <v>39</v>
      </c>
    </row>
    <row r="45">
      <c r="A45" s="5" t="str">
        <f>IFERROR(__xludf.DUMMYFUNCTION("LEFT(A44, 6) &amp; TEXT(REGEXEXTRACT(A44, ""-(\d+)"") + 1, ""000"")"),"ARMOR-043")</f>
        <v>ARMOR-043</v>
      </c>
      <c r="B45" s="3" t="str">
        <f t="shared" si="1"/>
        <v>Braçais de Placa | Excelente</v>
      </c>
      <c r="C45" s="3" t="s">
        <v>38</v>
      </c>
      <c r="D45" s="3" t="s">
        <v>34</v>
      </c>
      <c r="E45" s="3" t="s">
        <v>24</v>
      </c>
      <c r="F45" s="3" t="s">
        <v>18</v>
      </c>
      <c r="G45" s="3">
        <v>9.0</v>
      </c>
      <c r="H45" s="4">
        <v>4.4</v>
      </c>
      <c r="I45" s="9">
        <v>6400.0</v>
      </c>
      <c r="J45" s="3" t="s">
        <v>39</v>
      </c>
    </row>
    <row r="46">
      <c r="A46" s="5" t="str">
        <f>IFERROR(__xludf.DUMMYFUNCTION("LEFT(A45, 6) &amp; TEXT(REGEXEXTRACT(A45, ""-(\d+)"") + 1, ""000"")"),"ARMOR-044")</f>
        <v>ARMOR-044</v>
      </c>
      <c r="B46" s="3" t="str">
        <f t="shared" si="1"/>
        <v>Braçais de Placa | Obra-Prima</v>
      </c>
      <c r="C46" s="3" t="s">
        <v>38</v>
      </c>
      <c r="D46" s="3" t="s">
        <v>34</v>
      </c>
      <c r="E46" s="3" t="s">
        <v>24</v>
      </c>
      <c r="F46" s="3" t="s">
        <v>19</v>
      </c>
      <c r="G46" s="3">
        <v>10.0</v>
      </c>
      <c r="H46" s="4">
        <v>4.2</v>
      </c>
      <c r="I46" s="3">
        <v>12800.0</v>
      </c>
      <c r="J46" s="3" t="s">
        <v>39</v>
      </c>
    </row>
    <row r="47">
      <c r="A47" s="5" t="str">
        <f>IFERROR(__xludf.DUMMYFUNCTION("LEFT(A46, 6) &amp; TEXT(REGEXEXTRACT(A46, ""-(\d+)"") + 1, ""000"")"),"ARMOR-045")</f>
        <v>ARMOR-045</v>
      </c>
      <c r="B47" s="3" t="str">
        <f t="shared" si="1"/>
        <v>Luvas | Comum</v>
      </c>
      <c r="C47" s="3" t="s">
        <v>40</v>
      </c>
      <c r="D47" s="3" t="s">
        <v>41</v>
      </c>
      <c r="E47" s="3" t="s">
        <v>13</v>
      </c>
      <c r="F47" s="3" t="s">
        <v>14</v>
      </c>
      <c r="G47" s="3">
        <v>1.0</v>
      </c>
      <c r="H47" s="4">
        <v>1.5</v>
      </c>
      <c r="I47" s="3">
        <v>100.0</v>
      </c>
      <c r="J47" s="3" t="s">
        <v>42</v>
      </c>
    </row>
    <row r="48">
      <c r="A48" s="5" t="str">
        <f>IFERROR(__xludf.DUMMYFUNCTION("LEFT(A47, 6) &amp; TEXT(REGEXEXTRACT(A47, ""-(\d+)"") + 1, ""000"")"),"ARMOR-046")</f>
        <v>ARMOR-046</v>
      </c>
      <c r="B48" s="3" t="str">
        <f t="shared" si="1"/>
        <v>Luvas | Boa</v>
      </c>
      <c r="C48" s="3" t="s">
        <v>40</v>
      </c>
      <c r="D48" s="3" t="s">
        <v>41</v>
      </c>
      <c r="E48" s="3" t="s">
        <v>13</v>
      </c>
      <c r="F48" s="3" t="s">
        <v>16</v>
      </c>
      <c r="G48" s="3">
        <v>2.0</v>
      </c>
      <c r="H48" s="4">
        <v>1.4</v>
      </c>
      <c r="I48" s="3">
        <v>200.0</v>
      </c>
      <c r="J48" s="3" t="s">
        <v>42</v>
      </c>
    </row>
    <row r="49">
      <c r="A49" s="5" t="str">
        <f>IFERROR(__xludf.DUMMYFUNCTION("LEFT(A48, 6) &amp; TEXT(REGEXEXTRACT(A48, ""-(\d+)"") + 1, ""000"")"),"ARMOR-047")</f>
        <v>ARMOR-047</v>
      </c>
      <c r="B49" s="3" t="str">
        <f t="shared" si="1"/>
        <v>Luvas | Superior</v>
      </c>
      <c r="C49" s="3" t="s">
        <v>40</v>
      </c>
      <c r="D49" s="3" t="s">
        <v>41</v>
      </c>
      <c r="E49" s="3" t="s">
        <v>13</v>
      </c>
      <c r="F49" s="3" t="s">
        <v>17</v>
      </c>
      <c r="G49" s="3">
        <v>3.0</v>
      </c>
      <c r="H49" s="4">
        <v>1.3</v>
      </c>
      <c r="I49" s="3">
        <v>400.0</v>
      </c>
      <c r="J49" s="3" t="s">
        <v>42</v>
      </c>
    </row>
    <row r="50">
      <c r="A50" s="5" t="str">
        <f>IFERROR(__xludf.DUMMYFUNCTION("LEFT(A49, 6) &amp; TEXT(REGEXEXTRACT(A49, ""-(\d+)"") + 1, ""000"")"),"ARMOR-048")</f>
        <v>ARMOR-048</v>
      </c>
      <c r="B50" s="3" t="str">
        <f t="shared" si="1"/>
        <v>Luvas | Excelente</v>
      </c>
      <c r="C50" s="3" t="s">
        <v>40</v>
      </c>
      <c r="D50" s="3" t="s">
        <v>41</v>
      </c>
      <c r="E50" s="3" t="s">
        <v>13</v>
      </c>
      <c r="F50" s="3" t="s">
        <v>18</v>
      </c>
      <c r="G50" s="3">
        <v>4.0</v>
      </c>
      <c r="H50" s="4">
        <v>1.2</v>
      </c>
      <c r="I50" s="3">
        <v>800.0</v>
      </c>
      <c r="J50" s="3" t="s">
        <v>42</v>
      </c>
    </row>
    <row r="51">
      <c r="A51" s="5" t="str">
        <f>IFERROR(__xludf.DUMMYFUNCTION("LEFT(A50, 6) &amp; TEXT(REGEXEXTRACT(A50, ""-(\d+)"") + 1, ""000"")"),"ARMOR-049")</f>
        <v>ARMOR-049</v>
      </c>
      <c r="B51" s="3" t="str">
        <f t="shared" si="1"/>
        <v>Luvas | Obra-Prima</v>
      </c>
      <c r="C51" s="3" t="s">
        <v>40</v>
      </c>
      <c r="D51" s="3" t="s">
        <v>41</v>
      </c>
      <c r="E51" s="3" t="s">
        <v>13</v>
      </c>
      <c r="F51" s="3" t="s">
        <v>19</v>
      </c>
      <c r="G51" s="3">
        <v>5.0</v>
      </c>
      <c r="H51" s="4">
        <v>1.1</v>
      </c>
      <c r="I51" s="3">
        <v>1000.0</v>
      </c>
      <c r="J51" s="3" t="s">
        <v>42</v>
      </c>
    </row>
    <row r="52">
      <c r="A52" s="5" t="str">
        <f>IFERROR(__xludf.DUMMYFUNCTION("LEFT(A51, 6) &amp; TEXT(REGEXEXTRACT(A51, ""-(\d+)"") + 1, ""000"")"),"ARMOR-050")</f>
        <v>ARMOR-050</v>
      </c>
      <c r="B52" s="3" t="str">
        <f t="shared" si="1"/>
        <v>Manoplas de Malha | Comum</v>
      </c>
      <c r="C52" s="3" t="s">
        <v>43</v>
      </c>
      <c r="D52" s="3" t="s">
        <v>41</v>
      </c>
      <c r="E52" s="3" t="s">
        <v>21</v>
      </c>
      <c r="F52" s="3" t="s">
        <v>14</v>
      </c>
      <c r="G52" s="3">
        <v>2.0</v>
      </c>
      <c r="H52" s="4">
        <v>2.5</v>
      </c>
      <c r="I52" s="3">
        <v>200.0</v>
      </c>
      <c r="J52" s="3" t="s">
        <v>44</v>
      </c>
    </row>
    <row r="53">
      <c r="A53" s="5" t="str">
        <f>IFERROR(__xludf.DUMMYFUNCTION("LEFT(A52, 6) &amp; TEXT(REGEXEXTRACT(A52, ""-(\d+)"") + 1, ""000"")"),"ARMOR-051")</f>
        <v>ARMOR-051</v>
      </c>
      <c r="B53" s="3" t="str">
        <f t="shared" si="1"/>
        <v>Manoplas de Malha | Boa</v>
      </c>
      <c r="C53" s="3" t="s">
        <v>43</v>
      </c>
      <c r="D53" s="3" t="s">
        <v>41</v>
      </c>
      <c r="E53" s="3" t="s">
        <v>21</v>
      </c>
      <c r="F53" s="3" t="s">
        <v>16</v>
      </c>
      <c r="G53" s="3">
        <v>3.0</v>
      </c>
      <c r="H53" s="4">
        <v>2.4</v>
      </c>
      <c r="I53" s="3">
        <v>400.0</v>
      </c>
      <c r="J53" s="3" t="s">
        <v>44</v>
      </c>
    </row>
    <row r="54">
      <c r="A54" s="5" t="str">
        <f>IFERROR(__xludf.DUMMYFUNCTION("LEFT(A53, 6) &amp; TEXT(REGEXEXTRACT(A53, ""-(\d+)"") + 1, ""000"")"),"ARMOR-052")</f>
        <v>ARMOR-052</v>
      </c>
      <c r="B54" s="3" t="str">
        <f t="shared" si="1"/>
        <v>Manoplas de Malha | Superior</v>
      </c>
      <c r="C54" s="3" t="s">
        <v>43</v>
      </c>
      <c r="D54" s="3" t="s">
        <v>41</v>
      </c>
      <c r="E54" s="3" t="s">
        <v>21</v>
      </c>
      <c r="F54" s="3" t="s">
        <v>17</v>
      </c>
      <c r="G54" s="3">
        <v>4.0</v>
      </c>
      <c r="H54" s="4">
        <v>2.3</v>
      </c>
      <c r="I54" s="3">
        <v>800.0</v>
      </c>
      <c r="J54" s="3" t="s">
        <v>44</v>
      </c>
    </row>
    <row r="55">
      <c r="A55" s="5" t="str">
        <f>IFERROR(__xludf.DUMMYFUNCTION("LEFT(A54, 6) &amp; TEXT(REGEXEXTRACT(A54, ""-(\d+)"") + 1, ""000"")"),"ARMOR-053")</f>
        <v>ARMOR-053</v>
      </c>
      <c r="B55" s="3" t="str">
        <f t="shared" si="1"/>
        <v>Manoplas de Malha | Excelente</v>
      </c>
      <c r="C55" s="3" t="s">
        <v>43</v>
      </c>
      <c r="D55" s="3" t="s">
        <v>41</v>
      </c>
      <c r="E55" s="3" t="s">
        <v>21</v>
      </c>
      <c r="F55" s="3" t="s">
        <v>18</v>
      </c>
      <c r="G55" s="3">
        <v>5.0</v>
      </c>
      <c r="H55" s="4">
        <v>2.2</v>
      </c>
      <c r="I55" s="3">
        <v>1600.0</v>
      </c>
      <c r="J55" s="3" t="s">
        <v>44</v>
      </c>
    </row>
    <row r="56">
      <c r="A56" s="5" t="str">
        <f>IFERROR(__xludf.DUMMYFUNCTION("LEFT(A55, 6) &amp; TEXT(REGEXEXTRACT(A55, ""-(\d+)"") + 1, ""000"")"),"ARMOR-054")</f>
        <v>ARMOR-054</v>
      </c>
      <c r="B56" s="3" t="str">
        <f t="shared" si="1"/>
        <v>Manoplas de Malha | Obra-Prima</v>
      </c>
      <c r="C56" s="3" t="s">
        <v>43</v>
      </c>
      <c r="D56" s="3" t="s">
        <v>41</v>
      </c>
      <c r="E56" s="3" t="s">
        <v>21</v>
      </c>
      <c r="F56" s="3" t="s">
        <v>19</v>
      </c>
      <c r="G56" s="3">
        <v>6.0</v>
      </c>
      <c r="H56" s="4">
        <v>2.1</v>
      </c>
      <c r="I56" s="3">
        <v>3200.0</v>
      </c>
      <c r="J56" s="3" t="s">
        <v>44</v>
      </c>
    </row>
    <row r="57">
      <c r="A57" s="5" t="str">
        <f>IFERROR(__xludf.DUMMYFUNCTION("LEFT(A56, 6) &amp; TEXT(REGEXEXTRACT(A56, ""-(\d+)"") + 1, ""000"")"),"ARMOR-055")</f>
        <v>ARMOR-055</v>
      </c>
      <c r="B57" s="3" t="str">
        <f t="shared" si="1"/>
        <v>Manoplas de placa | Comum</v>
      </c>
      <c r="C57" s="3" t="s">
        <v>45</v>
      </c>
      <c r="D57" s="3" t="s">
        <v>41</v>
      </c>
      <c r="E57" s="3" t="s">
        <v>24</v>
      </c>
      <c r="F57" s="3" t="s">
        <v>14</v>
      </c>
      <c r="G57" s="3">
        <v>4.0</v>
      </c>
      <c r="H57" s="4">
        <v>5.0</v>
      </c>
      <c r="I57" s="3">
        <v>400.0</v>
      </c>
      <c r="J57" s="3" t="s">
        <v>46</v>
      </c>
    </row>
    <row r="58">
      <c r="A58" s="5" t="str">
        <f>IFERROR(__xludf.DUMMYFUNCTION("LEFT(A57, 6) &amp; TEXT(REGEXEXTRACT(A57, ""-(\d+)"") + 1, ""000"")"),"ARMOR-056")</f>
        <v>ARMOR-056</v>
      </c>
      <c r="B58" s="3" t="str">
        <f t="shared" si="1"/>
        <v>Manoplas de placa | Boa</v>
      </c>
      <c r="C58" s="3" t="s">
        <v>45</v>
      </c>
      <c r="D58" s="3" t="s">
        <v>41</v>
      </c>
      <c r="E58" s="3" t="s">
        <v>24</v>
      </c>
      <c r="F58" s="3" t="s">
        <v>16</v>
      </c>
      <c r="G58" s="3">
        <v>5.0</v>
      </c>
      <c r="H58" s="4">
        <v>4.8</v>
      </c>
      <c r="I58" s="3">
        <v>800.0</v>
      </c>
      <c r="J58" s="3" t="s">
        <v>46</v>
      </c>
    </row>
    <row r="59">
      <c r="A59" s="5" t="str">
        <f>IFERROR(__xludf.DUMMYFUNCTION("LEFT(A58, 6) &amp; TEXT(REGEXEXTRACT(A58, ""-(\d+)"") + 1, ""000"")"),"ARMOR-057")</f>
        <v>ARMOR-057</v>
      </c>
      <c r="B59" s="3" t="str">
        <f t="shared" si="1"/>
        <v>Manoplas de placa | Superior</v>
      </c>
      <c r="C59" s="3" t="s">
        <v>45</v>
      </c>
      <c r="D59" s="3" t="s">
        <v>41</v>
      </c>
      <c r="E59" s="3" t="s">
        <v>24</v>
      </c>
      <c r="F59" s="3" t="s">
        <v>17</v>
      </c>
      <c r="G59" s="3">
        <v>6.0</v>
      </c>
      <c r="H59" s="4">
        <v>4.6</v>
      </c>
      <c r="I59" s="3">
        <v>1600.0</v>
      </c>
      <c r="J59" s="3" t="s">
        <v>46</v>
      </c>
    </row>
    <row r="60">
      <c r="A60" s="5" t="str">
        <f>IFERROR(__xludf.DUMMYFUNCTION("LEFT(A59, 6) &amp; TEXT(REGEXEXTRACT(A59, ""-(\d+)"") + 1, ""000"")"),"ARMOR-058")</f>
        <v>ARMOR-058</v>
      </c>
      <c r="B60" s="3" t="str">
        <f t="shared" si="1"/>
        <v>Manoplas de placa | Excelente</v>
      </c>
      <c r="C60" s="3" t="s">
        <v>45</v>
      </c>
      <c r="D60" s="3" t="s">
        <v>41</v>
      </c>
      <c r="E60" s="3" t="s">
        <v>24</v>
      </c>
      <c r="F60" s="3" t="s">
        <v>18</v>
      </c>
      <c r="G60" s="3">
        <v>7.0</v>
      </c>
      <c r="H60" s="4">
        <v>4.4</v>
      </c>
      <c r="I60" s="3">
        <v>3200.0</v>
      </c>
      <c r="J60" s="3" t="s">
        <v>46</v>
      </c>
    </row>
    <row r="61">
      <c r="A61" s="5" t="str">
        <f>IFERROR(__xludf.DUMMYFUNCTION("LEFT(A60, 6) &amp; TEXT(REGEXEXTRACT(A60, ""-(\d+)"") + 1, ""000"")"),"ARMOR-059")</f>
        <v>ARMOR-059</v>
      </c>
      <c r="B61" s="3" t="str">
        <f t="shared" si="1"/>
        <v>Manoplas de placa | Obra-Prima</v>
      </c>
      <c r="C61" s="3" t="s">
        <v>45</v>
      </c>
      <c r="D61" s="3" t="s">
        <v>41</v>
      </c>
      <c r="E61" s="3" t="s">
        <v>24</v>
      </c>
      <c r="F61" s="3" t="s">
        <v>19</v>
      </c>
      <c r="G61" s="3">
        <v>8.0</v>
      </c>
      <c r="H61" s="4">
        <v>4.2</v>
      </c>
      <c r="I61" s="3">
        <v>6400.0</v>
      </c>
      <c r="J61" s="3" t="s">
        <v>46</v>
      </c>
    </row>
    <row r="62">
      <c r="A62" s="5" t="str">
        <f>IFERROR(__xludf.DUMMYFUNCTION("LEFT(A61, 6) &amp; TEXT(REGEXEXTRACT(A61, ""-(\d+)"") + 1, ""000"")"),"ARMOR-060")</f>
        <v>ARMOR-060</v>
      </c>
      <c r="B62" s="3" t="str">
        <f t="shared" si="1"/>
        <v>Calças Acolchoadas | Comum</v>
      </c>
      <c r="C62" s="3" t="s">
        <v>47</v>
      </c>
      <c r="D62" s="3" t="s">
        <v>48</v>
      </c>
      <c r="E62" s="3" t="s">
        <v>13</v>
      </c>
      <c r="F62" s="3" t="s">
        <v>14</v>
      </c>
      <c r="G62" s="3">
        <v>2.0</v>
      </c>
      <c r="H62" s="4">
        <v>1.5</v>
      </c>
      <c r="I62" s="3">
        <v>200.0</v>
      </c>
      <c r="J62" s="3" t="s">
        <v>49</v>
      </c>
    </row>
    <row r="63">
      <c r="A63" s="5" t="str">
        <f>IFERROR(__xludf.DUMMYFUNCTION("LEFT(A62, 6) &amp; TEXT(REGEXEXTRACT(A62, ""-(\d+)"") + 1, ""000"")"),"ARMOR-061")</f>
        <v>ARMOR-061</v>
      </c>
      <c r="B63" s="3" t="str">
        <f t="shared" si="1"/>
        <v>Calças Acolchoadas | Boa</v>
      </c>
      <c r="C63" s="3" t="s">
        <v>47</v>
      </c>
      <c r="D63" s="3" t="s">
        <v>48</v>
      </c>
      <c r="E63" s="3" t="s">
        <v>13</v>
      </c>
      <c r="F63" s="3" t="s">
        <v>16</v>
      </c>
      <c r="G63" s="3">
        <v>3.0</v>
      </c>
      <c r="H63" s="4">
        <v>1.4</v>
      </c>
      <c r="I63" s="3">
        <v>400.0</v>
      </c>
      <c r="J63" s="3" t="s">
        <v>49</v>
      </c>
    </row>
    <row r="64">
      <c r="A64" s="5" t="str">
        <f>IFERROR(__xludf.DUMMYFUNCTION("LEFT(A63, 6) &amp; TEXT(REGEXEXTRACT(A63, ""-(\d+)"") + 1, ""000"")"),"ARMOR-062")</f>
        <v>ARMOR-062</v>
      </c>
      <c r="B64" s="3" t="str">
        <f t="shared" si="1"/>
        <v>Calças Acolchoadas | Superior</v>
      </c>
      <c r="C64" s="3" t="s">
        <v>47</v>
      </c>
      <c r="D64" s="3" t="s">
        <v>48</v>
      </c>
      <c r="E64" s="3" t="s">
        <v>13</v>
      </c>
      <c r="F64" s="3" t="s">
        <v>17</v>
      </c>
      <c r="G64" s="3">
        <v>4.0</v>
      </c>
      <c r="H64" s="4">
        <v>1.3</v>
      </c>
      <c r="I64" s="3">
        <v>800.0</v>
      </c>
      <c r="J64" s="3" t="s">
        <v>49</v>
      </c>
    </row>
    <row r="65">
      <c r="A65" s="5" t="str">
        <f>IFERROR(__xludf.DUMMYFUNCTION("LEFT(A64, 6) &amp; TEXT(REGEXEXTRACT(A64, ""-(\d+)"") + 1, ""000"")"),"ARMOR-063")</f>
        <v>ARMOR-063</v>
      </c>
      <c r="B65" s="3" t="str">
        <f t="shared" si="1"/>
        <v>Calças Acolchoadas | Excelente</v>
      </c>
      <c r="C65" s="3" t="s">
        <v>47</v>
      </c>
      <c r="D65" s="3" t="s">
        <v>48</v>
      </c>
      <c r="E65" s="3" t="s">
        <v>13</v>
      </c>
      <c r="F65" s="3" t="s">
        <v>18</v>
      </c>
      <c r="G65" s="3">
        <v>5.0</v>
      </c>
      <c r="H65" s="4">
        <v>1.2</v>
      </c>
      <c r="I65" s="3">
        <v>1600.0</v>
      </c>
      <c r="J65" s="3" t="s">
        <v>49</v>
      </c>
    </row>
    <row r="66">
      <c r="A66" s="5" t="str">
        <f>IFERROR(__xludf.DUMMYFUNCTION("LEFT(A65, 6) &amp; TEXT(REGEXEXTRACT(A65, ""-(\d+)"") + 1, ""000"")"),"ARMOR-064")</f>
        <v>ARMOR-064</v>
      </c>
      <c r="B66" s="3" t="str">
        <f t="shared" si="1"/>
        <v>Calças Acolchoadas | Obra-Prima</v>
      </c>
      <c r="C66" s="3" t="s">
        <v>47</v>
      </c>
      <c r="D66" s="3" t="s">
        <v>48</v>
      </c>
      <c r="E66" s="3" t="s">
        <v>13</v>
      </c>
      <c r="F66" s="3" t="s">
        <v>19</v>
      </c>
      <c r="G66" s="3">
        <v>6.0</v>
      </c>
      <c r="H66" s="4">
        <v>1.1</v>
      </c>
      <c r="I66" s="3">
        <v>3200.0</v>
      </c>
      <c r="J66" s="3" t="s">
        <v>49</v>
      </c>
    </row>
    <row r="67">
      <c r="A67" s="5" t="str">
        <f>IFERROR(__xludf.DUMMYFUNCTION("LEFT(A66, 6) &amp; TEXT(REGEXEXTRACT(A66, ""-(\d+)"") + 1, ""000"")"),"ARMOR-065")</f>
        <v>ARMOR-065</v>
      </c>
      <c r="B67" s="3" t="str">
        <f t="shared" si="1"/>
        <v>Grevas de Malha | Comum</v>
      </c>
      <c r="C67" s="3" t="s">
        <v>50</v>
      </c>
      <c r="D67" s="3" t="s">
        <v>48</v>
      </c>
      <c r="E67" s="3" t="s">
        <v>21</v>
      </c>
      <c r="F67" s="3" t="s">
        <v>14</v>
      </c>
      <c r="G67" s="3">
        <v>4.0</v>
      </c>
      <c r="H67" s="4">
        <v>2.5</v>
      </c>
      <c r="I67" s="3">
        <v>400.0</v>
      </c>
      <c r="J67" s="3" t="s">
        <v>51</v>
      </c>
    </row>
    <row r="68">
      <c r="A68" s="5" t="str">
        <f>IFERROR(__xludf.DUMMYFUNCTION("LEFT(A67, 6) &amp; TEXT(REGEXEXTRACT(A67, ""-(\d+)"") + 1, ""000"")"),"ARMOR-066")</f>
        <v>ARMOR-066</v>
      </c>
      <c r="B68" s="3" t="str">
        <f t="shared" si="1"/>
        <v>Grevas de Malha | Boa</v>
      </c>
      <c r="C68" s="3" t="s">
        <v>50</v>
      </c>
      <c r="D68" s="3" t="s">
        <v>48</v>
      </c>
      <c r="E68" s="3" t="s">
        <v>21</v>
      </c>
      <c r="F68" s="3" t="s">
        <v>16</v>
      </c>
      <c r="G68" s="3">
        <v>5.0</v>
      </c>
      <c r="H68" s="4">
        <v>2.4</v>
      </c>
      <c r="I68" s="3">
        <v>800.0</v>
      </c>
      <c r="J68" s="3" t="s">
        <v>51</v>
      </c>
    </row>
    <row r="69">
      <c r="A69" s="5" t="str">
        <f>IFERROR(__xludf.DUMMYFUNCTION("LEFT(A68, 6) &amp; TEXT(REGEXEXTRACT(A68, ""-(\d+)"") + 1, ""000"")"),"ARMOR-067")</f>
        <v>ARMOR-067</v>
      </c>
      <c r="B69" s="3" t="str">
        <f t="shared" si="1"/>
        <v>Grevas de Malha | Superior</v>
      </c>
      <c r="C69" s="3" t="s">
        <v>50</v>
      </c>
      <c r="D69" s="3" t="s">
        <v>48</v>
      </c>
      <c r="E69" s="3" t="s">
        <v>21</v>
      </c>
      <c r="F69" s="3" t="s">
        <v>17</v>
      </c>
      <c r="G69" s="3">
        <v>6.0</v>
      </c>
      <c r="H69" s="4">
        <v>2.3</v>
      </c>
      <c r="I69" s="3">
        <v>1600.0</v>
      </c>
      <c r="J69" s="3" t="s">
        <v>51</v>
      </c>
    </row>
    <row r="70">
      <c r="A70" s="5" t="str">
        <f>IFERROR(__xludf.DUMMYFUNCTION("LEFT(A69, 6) &amp; TEXT(REGEXEXTRACT(A69, ""-(\d+)"") + 1, ""000"")"),"ARMOR-068")</f>
        <v>ARMOR-068</v>
      </c>
      <c r="B70" s="3" t="str">
        <f t="shared" si="1"/>
        <v>Grevas de Malha | Excelente</v>
      </c>
      <c r="C70" s="3" t="s">
        <v>50</v>
      </c>
      <c r="D70" s="3" t="s">
        <v>48</v>
      </c>
      <c r="E70" s="3" t="s">
        <v>21</v>
      </c>
      <c r="F70" s="3" t="s">
        <v>18</v>
      </c>
      <c r="G70" s="3">
        <v>7.0</v>
      </c>
      <c r="H70" s="4">
        <v>2.2</v>
      </c>
      <c r="I70" s="3">
        <v>3200.0</v>
      </c>
      <c r="J70" s="3" t="s">
        <v>51</v>
      </c>
    </row>
    <row r="71">
      <c r="A71" s="5" t="str">
        <f>IFERROR(__xludf.DUMMYFUNCTION("LEFT(A70, 6) &amp; TEXT(REGEXEXTRACT(A70, ""-(\d+)"") + 1, ""000"")"),"ARMOR-069")</f>
        <v>ARMOR-069</v>
      </c>
      <c r="B71" s="3" t="str">
        <f t="shared" si="1"/>
        <v>Grevas de Malha | Obra-Prima</v>
      </c>
      <c r="C71" s="3" t="s">
        <v>50</v>
      </c>
      <c r="D71" s="3" t="s">
        <v>48</v>
      </c>
      <c r="E71" s="3" t="s">
        <v>21</v>
      </c>
      <c r="F71" s="3" t="s">
        <v>19</v>
      </c>
      <c r="G71" s="3">
        <v>8.0</v>
      </c>
      <c r="H71" s="4">
        <v>2.1</v>
      </c>
      <c r="I71" s="3">
        <v>6400.0</v>
      </c>
      <c r="J71" s="3" t="s">
        <v>51</v>
      </c>
    </row>
    <row r="72">
      <c r="A72" s="5" t="str">
        <f>IFERROR(__xludf.DUMMYFUNCTION("LEFT(A71, 6) &amp; TEXT(REGEXEXTRACT(A71, ""-(\d+)"") + 1, ""000"")"),"ARMOR-070")</f>
        <v>ARMOR-070</v>
      </c>
      <c r="B72" s="3" t="str">
        <f t="shared" si="1"/>
        <v>Grevas de Placa | Comum</v>
      </c>
      <c r="C72" s="3" t="s">
        <v>52</v>
      </c>
      <c r="D72" s="3" t="s">
        <v>48</v>
      </c>
      <c r="E72" s="3" t="s">
        <v>24</v>
      </c>
      <c r="F72" s="3" t="s">
        <v>14</v>
      </c>
      <c r="G72" s="3">
        <v>6.0</v>
      </c>
      <c r="H72" s="4">
        <v>5.0</v>
      </c>
      <c r="I72" s="10">
        <v>800.0</v>
      </c>
      <c r="J72" s="3" t="s">
        <v>53</v>
      </c>
    </row>
    <row r="73">
      <c r="A73" s="5" t="str">
        <f>IFERROR(__xludf.DUMMYFUNCTION("LEFT(A72, 6) &amp; TEXT(REGEXEXTRACT(A72, ""-(\d+)"") + 1, ""000"")"),"ARMOR-071")</f>
        <v>ARMOR-071</v>
      </c>
      <c r="B73" s="3" t="str">
        <f t="shared" si="1"/>
        <v>Grevas de Placa | Boa</v>
      </c>
      <c r="C73" s="3" t="s">
        <v>52</v>
      </c>
      <c r="D73" s="3" t="s">
        <v>48</v>
      </c>
      <c r="E73" s="3" t="s">
        <v>24</v>
      </c>
      <c r="F73" s="3" t="s">
        <v>16</v>
      </c>
      <c r="G73" s="3">
        <v>7.0</v>
      </c>
      <c r="H73" s="4">
        <v>4.8</v>
      </c>
      <c r="I73" s="10">
        <v>1600.0</v>
      </c>
      <c r="J73" s="3" t="s">
        <v>53</v>
      </c>
    </row>
    <row r="74">
      <c r="A74" s="5" t="str">
        <f>IFERROR(__xludf.DUMMYFUNCTION("LEFT(A73, 6) &amp; TEXT(REGEXEXTRACT(A73, ""-(\d+)"") + 1, ""000"")"),"ARMOR-072")</f>
        <v>ARMOR-072</v>
      </c>
      <c r="B74" s="3" t="str">
        <f t="shared" si="1"/>
        <v>Grevas de Placa | Superior</v>
      </c>
      <c r="C74" s="3" t="s">
        <v>52</v>
      </c>
      <c r="D74" s="3" t="s">
        <v>48</v>
      </c>
      <c r="E74" s="3" t="s">
        <v>24</v>
      </c>
      <c r="F74" s="3" t="s">
        <v>17</v>
      </c>
      <c r="G74" s="3">
        <v>8.0</v>
      </c>
      <c r="H74" s="4">
        <v>4.6</v>
      </c>
      <c r="I74" s="10">
        <v>3200.0</v>
      </c>
      <c r="J74" s="3" t="s">
        <v>53</v>
      </c>
    </row>
    <row r="75">
      <c r="A75" s="5" t="str">
        <f>IFERROR(__xludf.DUMMYFUNCTION("LEFT(A74, 6) &amp; TEXT(REGEXEXTRACT(A74, ""-(\d+)"") + 1, ""000"")"),"ARMOR-073")</f>
        <v>ARMOR-073</v>
      </c>
      <c r="B75" s="3" t="str">
        <f t="shared" si="1"/>
        <v>Grevas de Placa | Excelente</v>
      </c>
      <c r="C75" s="3" t="s">
        <v>52</v>
      </c>
      <c r="D75" s="3" t="s">
        <v>48</v>
      </c>
      <c r="E75" s="3" t="s">
        <v>24</v>
      </c>
      <c r="F75" s="3" t="s">
        <v>18</v>
      </c>
      <c r="G75" s="3">
        <v>9.0</v>
      </c>
      <c r="H75" s="4">
        <v>4.4</v>
      </c>
      <c r="I75" s="10">
        <v>6400.0</v>
      </c>
      <c r="J75" s="3" t="s">
        <v>53</v>
      </c>
    </row>
    <row r="76">
      <c r="A76" s="5" t="str">
        <f>IFERROR(__xludf.DUMMYFUNCTION("LEFT(A75, 6) &amp; TEXT(REGEXEXTRACT(A75, ""-(\d+)"") + 1, ""000"")"),"ARMOR-074")</f>
        <v>ARMOR-074</v>
      </c>
      <c r="B76" s="3" t="str">
        <f t="shared" si="1"/>
        <v>Grevas de Placa | Obra-Prima</v>
      </c>
      <c r="C76" s="3" t="s">
        <v>52</v>
      </c>
      <c r="D76" s="3" t="s">
        <v>48</v>
      </c>
      <c r="E76" s="3" t="s">
        <v>24</v>
      </c>
      <c r="F76" s="3" t="s">
        <v>19</v>
      </c>
      <c r="G76" s="3">
        <v>10.0</v>
      </c>
      <c r="H76" s="4">
        <v>4.2</v>
      </c>
      <c r="I76" s="3">
        <v>12800.0</v>
      </c>
      <c r="J76" s="3" t="s">
        <v>53</v>
      </c>
    </row>
    <row r="77">
      <c r="A77" s="5" t="str">
        <f>IFERROR(__xludf.DUMMYFUNCTION("LEFT(A76, 6) &amp; TEXT(REGEXEXTRACT(A76, ""-(\d+)"") + 1, ""000"")"),"ARMOR-075")</f>
        <v>ARMOR-075</v>
      </c>
      <c r="B77" s="3" t="str">
        <f t="shared" si="1"/>
        <v>Botas | Comum</v>
      </c>
      <c r="C77" s="3" t="s">
        <v>54</v>
      </c>
      <c r="D77" s="3" t="s">
        <v>55</v>
      </c>
      <c r="E77" s="3" t="s">
        <v>13</v>
      </c>
      <c r="F77" s="3" t="s">
        <v>14</v>
      </c>
      <c r="G77" s="3">
        <v>1.0</v>
      </c>
      <c r="H77" s="4">
        <v>1.5</v>
      </c>
      <c r="I77" s="3">
        <v>100.0</v>
      </c>
      <c r="J77" s="3" t="s">
        <v>56</v>
      </c>
    </row>
    <row r="78">
      <c r="A78" s="5" t="str">
        <f>IFERROR(__xludf.DUMMYFUNCTION("LEFT(A77, 6) &amp; TEXT(REGEXEXTRACT(A77, ""-(\d+)"") + 1, ""000"")"),"ARMOR-076")</f>
        <v>ARMOR-076</v>
      </c>
      <c r="B78" s="3" t="str">
        <f t="shared" si="1"/>
        <v>Botas | Boa</v>
      </c>
      <c r="C78" s="3" t="s">
        <v>54</v>
      </c>
      <c r="D78" s="3" t="s">
        <v>55</v>
      </c>
      <c r="E78" s="3" t="s">
        <v>13</v>
      </c>
      <c r="F78" s="3" t="s">
        <v>16</v>
      </c>
      <c r="G78" s="3">
        <v>2.0</v>
      </c>
      <c r="H78" s="4">
        <v>1.4</v>
      </c>
      <c r="I78" s="3">
        <v>200.0</v>
      </c>
      <c r="J78" s="3" t="s">
        <v>56</v>
      </c>
    </row>
    <row r="79">
      <c r="A79" s="5" t="str">
        <f>IFERROR(__xludf.DUMMYFUNCTION("LEFT(A78, 6) &amp; TEXT(REGEXEXTRACT(A78, ""-(\d+)"") + 1, ""000"")"),"ARMOR-077")</f>
        <v>ARMOR-077</v>
      </c>
      <c r="B79" s="3" t="str">
        <f t="shared" si="1"/>
        <v>Botas | Superior</v>
      </c>
      <c r="C79" s="3" t="s">
        <v>54</v>
      </c>
      <c r="D79" s="3" t="s">
        <v>55</v>
      </c>
      <c r="E79" s="3" t="s">
        <v>13</v>
      </c>
      <c r="F79" s="3" t="s">
        <v>17</v>
      </c>
      <c r="G79" s="3">
        <v>3.0</v>
      </c>
      <c r="H79" s="4">
        <v>1.3</v>
      </c>
      <c r="I79" s="3">
        <v>400.0</v>
      </c>
      <c r="J79" s="3" t="s">
        <v>56</v>
      </c>
    </row>
    <row r="80">
      <c r="A80" s="5" t="str">
        <f>IFERROR(__xludf.DUMMYFUNCTION("LEFT(A79, 6) &amp; TEXT(REGEXEXTRACT(A79, ""-(\d+)"") + 1, ""000"")"),"ARMOR-078")</f>
        <v>ARMOR-078</v>
      </c>
      <c r="B80" s="3" t="str">
        <f t="shared" si="1"/>
        <v>Botas | Excelente</v>
      </c>
      <c r="C80" s="3" t="s">
        <v>54</v>
      </c>
      <c r="D80" s="3" t="s">
        <v>55</v>
      </c>
      <c r="E80" s="3" t="s">
        <v>13</v>
      </c>
      <c r="F80" s="3" t="s">
        <v>18</v>
      </c>
      <c r="G80" s="3">
        <v>4.0</v>
      </c>
      <c r="H80" s="4">
        <v>1.2</v>
      </c>
      <c r="I80" s="3">
        <v>800.0</v>
      </c>
      <c r="J80" s="3" t="s">
        <v>56</v>
      </c>
    </row>
    <row r="81">
      <c r="A81" s="5" t="str">
        <f>IFERROR(__xludf.DUMMYFUNCTION("LEFT(A80, 6) &amp; TEXT(REGEXEXTRACT(A80, ""-(\d+)"") + 1, ""000"")"),"ARMOR-079")</f>
        <v>ARMOR-079</v>
      </c>
      <c r="B81" s="3" t="str">
        <f t="shared" si="1"/>
        <v>Botas | Obra-Prima</v>
      </c>
      <c r="C81" s="3" t="s">
        <v>54</v>
      </c>
      <c r="D81" s="3" t="s">
        <v>55</v>
      </c>
      <c r="E81" s="3" t="s">
        <v>13</v>
      </c>
      <c r="F81" s="3" t="s">
        <v>19</v>
      </c>
      <c r="G81" s="3">
        <v>5.0</v>
      </c>
      <c r="H81" s="4">
        <v>1.1</v>
      </c>
      <c r="I81" s="3">
        <v>1000.0</v>
      </c>
      <c r="J81" s="3" t="s">
        <v>56</v>
      </c>
    </row>
    <row r="82">
      <c r="A82" s="5" t="str">
        <f>IFERROR(__xludf.DUMMYFUNCTION("LEFT(A81, 6) &amp; TEXT(REGEXEXTRACT(A81, ""-(\d+)"") + 1, ""000"")"),"ARMOR-080")</f>
        <v>ARMOR-080</v>
      </c>
      <c r="B82" s="3" t="str">
        <f t="shared" si="1"/>
        <v>Botas Reforçadas | Comum</v>
      </c>
      <c r="C82" s="3" t="s">
        <v>57</v>
      </c>
      <c r="D82" s="3" t="s">
        <v>55</v>
      </c>
      <c r="E82" s="3" t="s">
        <v>21</v>
      </c>
      <c r="F82" s="3" t="s">
        <v>14</v>
      </c>
      <c r="G82" s="3">
        <v>2.0</v>
      </c>
      <c r="H82" s="4">
        <v>2.5</v>
      </c>
      <c r="I82" s="3">
        <v>200.0</v>
      </c>
      <c r="J82" s="3" t="s">
        <v>58</v>
      </c>
    </row>
    <row r="83">
      <c r="A83" s="5" t="str">
        <f>IFERROR(__xludf.DUMMYFUNCTION("LEFT(A82, 6) &amp; TEXT(REGEXEXTRACT(A82, ""-(\d+)"") + 1, ""000"")"),"ARMOR-081")</f>
        <v>ARMOR-081</v>
      </c>
      <c r="B83" s="3" t="str">
        <f t="shared" si="1"/>
        <v>Botas Reforçadas | Boa</v>
      </c>
      <c r="C83" s="3" t="s">
        <v>57</v>
      </c>
      <c r="D83" s="3" t="s">
        <v>55</v>
      </c>
      <c r="E83" s="3" t="s">
        <v>21</v>
      </c>
      <c r="F83" s="3" t="s">
        <v>16</v>
      </c>
      <c r="G83" s="3">
        <v>3.0</v>
      </c>
      <c r="H83" s="4">
        <v>2.4</v>
      </c>
      <c r="I83" s="3">
        <v>400.0</v>
      </c>
      <c r="J83" s="3" t="s">
        <v>58</v>
      </c>
    </row>
    <row r="84">
      <c r="A84" s="5" t="str">
        <f>IFERROR(__xludf.DUMMYFUNCTION("LEFT(A83, 6) &amp; TEXT(REGEXEXTRACT(A83, ""-(\d+)"") + 1, ""000"")"),"ARMOR-082")</f>
        <v>ARMOR-082</v>
      </c>
      <c r="B84" s="3" t="str">
        <f t="shared" si="1"/>
        <v>Botas Reforçadas | Superior</v>
      </c>
      <c r="C84" s="3" t="s">
        <v>57</v>
      </c>
      <c r="D84" s="3" t="s">
        <v>55</v>
      </c>
      <c r="E84" s="3" t="s">
        <v>21</v>
      </c>
      <c r="F84" s="3" t="s">
        <v>17</v>
      </c>
      <c r="G84" s="3">
        <v>4.0</v>
      </c>
      <c r="H84" s="4">
        <v>2.3</v>
      </c>
      <c r="I84" s="3">
        <v>800.0</v>
      </c>
      <c r="J84" s="3" t="s">
        <v>58</v>
      </c>
    </row>
    <row r="85">
      <c r="A85" s="5" t="str">
        <f>IFERROR(__xludf.DUMMYFUNCTION("LEFT(A84, 6) &amp; TEXT(REGEXEXTRACT(A84, ""-(\d+)"") + 1, ""000"")"),"ARMOR-083")</f>
        <v>ARMOR-083</v>
      </c>
      <c r="B85" s="3" t="str">
        <f t="shared" si="1"/>
        <v>Botas Reforçadas | Excelente</v>
      </c>
      <c r="C85" s="3" t="s">
        <v>57</v>
      </c>
      <c r="D85" s="3" t="s">
        <v>55</v>
      </c>
      <c r="E85" s="3" t="s">
        <v>21</v>
      </c>
      <c r="F85" s="3" t="s">
        <v>18</v>
      </c>
      <c r="G85" s="3">
        <v>5.0</v>
      </c>
      <c r="H85" s="4">
        <v>2.2</v>
      </c>
      <c r="I85" s="3">
        <v>1600.0</v>
      </c>
      <c r="J85" s="3" t="s">
        <v>58</v>
      </c>
    </row>
    <row r="86">
      <c r="A86" s="5" t="str">
        <f>IFERROR(__xludf.DUMMYFUNCTION("LEFT(A85, 6) &amp; TEXT(REGEXEXTRACT(A85, ""-(\d+)"") + 1, ""000"")"),"ARMOR-084")</f>
        <v>ARMOR-084</v>
      </c>
      <c r="B86" s="3" t="str">
        <f t="shared" si="1"/>
        <v>Botas Reforçadas | Obra-Prima</v>
      </c>
      <c r="C86" s="3" t="s">
        <v>57</v>
      </c>
      <c r="D86" s="3" t="s">
        <v>55</v>
      </c>
      <c r="E86" s="3" t="s">
        <v>21</v>
      </c>
      <c r="F86" s="3" t="s">
        <v>19</v>
      </c>
      <c r="G86" s="3">
        <v>6.0</v>
      </c>
      <c r="H86" s="4">
        <v>2.1</v>
      </c>
      <c r="I86" s="3">
        <v>3200.0</v>
      </c>
      <c r="J86" s="3" t="s">
        <v>58</v>
      </c>
    </row>
    <row r="87">
      <c r="A87" s="5" t="str">
        <f>IFERROR(__xludf.DUMMYFUNCTION("LEFT(A86, 6) &amp; TEXT(REGEXEXTRACT(A86, ""-(\d+)"") + 1, ""000"")"),"ARMOR-085")</f>
        <v>ARMOR-085</v>
      </c>
      <c r="B87" s="3" t="str">
        <f t="shared" si="1"/>
        <v>Sabatões de Placa | Comum</v>
      </c>
      <c r="C87" s="3" t="s">
        <v>59</v>
      </c>
      <c r="D87" s="3" t="s">
        <v>55</v>
      </c>
      <c r="E87" s="3" t="s">
        <v>24</v>
      </c>
      <c r="F87" s="3" t="s">
        <v>14</v>
      </c>
      <c r="G87" s="3">
        <v>4.0</v>
      </c>
      <c r="H87" s="4">
        <v>5.0</v>
      </c>
      <c r="I87" s="3">
        <v>400.0</v>
      </c>
      <c r="J87" s="3" t="s">
        <v>60</v>
      </c>
    </row>
    <row r="88">
      <c r="A88" s="5" t="str">
        <f>IFERROR(__xludf.DUMMYFUNCTION("LEFT(A87, 6) &amp; TEXT(REGEXEXTRACT(A87, ""-(\d+)"") + 1, ""000"")"),"ARMOR-086")</f>
        <v>ARMOR-086</v>
      </c>
      <c r="B88" s="3" t="str">
        <f t="shared" si="1"/>
        <v>Sabatões de Placa | Boa</v>
      </c>
      <c r="C88" s="3" t="s">
        <v>59</v>
      </c>
      <c r="D88" s="3" t="s">
        <v>55</v>
      </c>
      <c r="E88" s="3" t="s">
        <v>24</v>
      </c>
      <c r="F88" s="3" t="s">
        <v>16</v>
      </c>
      <c r="G88" s="3">
        <v>5.0</v>
      </c>
      <c r="H88" s="4">
        <v>4.8</v>
      </c>
      <c r="I88" s="3">
        <v>800.0</v>
      </c>
      <c r="J88" s="3" t="s">
        <v>60</v>
      </c>
    </row>
    <row r="89">
      <c r="A89" s="5" t="str">
        <f>IFERROR(__xludf.DUMMYFUNCTION("LEFT(A88, 6) &amp; TEXT(REGEXEXTRACT(A88, ""-(\d+)"") + 1, ""000"")"),"ARMOR-087")</f>
        <v>ARMOR-087</v>
      </c>
      <c r="B89" s="3" t="str">
        <f t="shared" si="1"/>
        <v>Sabatões de Placa | Superior</v>
      </c>
      <c r="C89" s="3" t="s">
        <v>59</v>
      </c>
      <c r="D89" s="3" t="s">
        <v>55</v>
      </c>
      <c r="E89" s="3" t="s">
        <v>24</v>
      </c>
      <c r="F89" s="3" t="s">
        <v>17</v>
      </c>
      <c r="G89" s="3">
        <v>6.0</v>
      </c>
      <c r="H89" s="4">
        <v>4.6</v>
      </c>
      <c r="I89" s="3">
        <v>1600.0</v>
      </c>
      <c r="J89" s="3" t="s">
        <v>60</v>
      </c>
    </row>
    <row r="90">
      <c r="A90" s="5" t="str">
        <f>IFERROR(__xludf.DUMMYFUNCTION("LEFT(A89, 6) &amp; TEXT(REGEXEXTRACT(A89, ""-(\d+)"") + 1, ""000"")"),"ARMOR-088")</f>
        <v>ARMOR-088</v>
      </c>
      <c r="B90" s="3" t="str">
        <f t="shared" si="1"/>
        <v>Sabatões de Placa | Excelente</v>
      </c>
      <c r="C90" s="3" t="s">
        <v>59</v>
      </c>
      <c r="D90" s="3" t="s">
        <v>55</v>
      </c>
      <c r="E90" s="3" t="s">
        <v>24</v>
      </c>
      <c r="F90" s="3" t="s">
        <v>18</v>
      </c>
      <c r="G90" s="3">
        <v>7.0</v>
      </c>
      <c r="H90" s="4">
        <v>4.4</v>
      </c>
      <c r="I90" s="3">
        <v>3200.0</v>
      </c>
      <c r="J90" s="3" t="s">
        <v>60</v>
      </c>
    </row>
    <row r="91">
      <c r="A91" s="5" t="str">
        <f>IFERROR(__xludf.DUMMYFUNCTION("LEFT(A90, 6) &amp; TEXT(REGEXEXTRACT(A90, ""-(\d+)"") + 1, ""000"")"),"ARMOR-089")</f>
        <v>ARMOR-089</v>
      </c>
      <c r="B91" s="3" t="str">
        <f t="shared" si="1"/>
        <v>Sabatões de Placa | Obra-Prima</v>
      </c>
      <c r="C91" s="3" t="s">
        <v>59</v>
      </c>
      <c r="D91" s="3" t="s">
        <v>55</v>
      </c>
      <c r="E91" s="3" t="s">
        <v>24</v>
      </c>
      <c r="F91" s="3" t="s">
        <v>19</v>
      </c>
      <c r="G91" s="3">
        <v>8.0</v>
      </c>
      <c r="H91" s="4">
        <v>4.2</v>
      </c>
      <c r="I91" s="3">
        <v>6400.0</v>
      </c>
      <c r="J91" s="3" t="s">
        <v>60</v>
      </c>
    </row>
    <row r="92">
      <c r="H92" s="11"/>
    </row>
    <row r="93">
      <c r="H93" s="11"/>
    </row>
    <row r="94">
      <c r="H94" s="11"/>
    </row>
    <row r="95">
      <c r="H95" s="11"/>
    </row>
    <row r="96">
      <c r="H96" s="11"/>
    </row>
    <row r="97">
      <c r="H97" s="11"/>
    </row>
    <row r="98">
      <c r="H98" s="11"/>
    </row>
    <row r="99">
      <c r="H99" s="11"/>
    </row>
    <row r="100">
      <c r="H100" s="11"/>
    </row>
    <row r="101">
      <c r="H101" s="11"/>
    </row>
    <row r="102">
      <c r="H102" s="11"/>
    </row>
    <row r="103">
      <c r="H103" s="11"/>
    </row>
    <row r="104">
      <c r="H104" s="11"/>
    </row>
    <row r="105">
      <c r="H105" s="11"/>
    </row>
    <row r="106">
      <c r="H106" s="11"/>
    </row>
    <row r="107">
      <c r="H107" s="11"/>
    </row>
    <row r="108">
      <c r="H108" s="11"/>
    </row>
    <row r="109">
      <c r="H109" s="11"/>
    </row>
    <row r="110">
      <c r="H110" s="11"/>
    </row>
    <row r="111">
      <c r="H111" s="11"/>
    </row>
    <row r="112">
      <c r="H112" s="11"/>
    </row>
    <row r="113">
      <c r="H113" s="11"/>
    </row>
    <row r="114">
      <c r="H114" s="11"/>
    </row>
    <row r="115">
      <c r="H115" s="11"/>
    </row>
    <row r="116">
      <c r="H116" s="11"/>
    </row>
    <row r="117">
      <c r="H117" s="11"/>
    </row>
    <row r="118">
      <c r="H118" s="11"/>
    </row>
    <row r="119">
      <c r="H119" s="11"/>
    </row>
    <row r="120">
      <c r="H120" s="11"/>
    </row>
    <row r="121">
      <c r="H121" s="11"/>
    </row>
    <row r="122">
      <c r="H122" s="11"/>
    </row>
    <row r="123">
      <c r="H123" s="11"/>
    </row>
    <row r="124">
      <c r="H124" s="11"/>
    </row>
    <row r="125">
      <c r="H125" s="11"/>
    </row>
    <row r="126">
      <c r="H126" s="11"/>
    </row>
    <row r="127">
      <c r="H127" s="11"/>
    </row>
    <row r="128">
      <c r="H128" s="11"/>
    </row>
    <row r="129">
      <c r="H129" s="11"/>
    </row>
    <row r="130">
      <c r="H130" s="11"/>
    </row>
    <row r="131">
      <c r="H131" s="11"/>
    </row>
    <row r="132">
      <c r="H132" s="11"/>
    </row>
    <row r="133">
      <c r="H133" s="11"/>
    </row>
    <row r="134">
      <c r="H134" s="11"/>
    </row>
    <row r="135">
      <c r="H135" s="11"/>
    </row>
    <row r="136">
      <c r="H136" s="11"/>
    </row>
    <row r="137">
      <c r="H137" s="11"/>
    </row>
    <row r="138">
      <c r="H138" s="11"/>
    </row>
    <row r="139">
      <c r="H139" s="11"/>
    </row>
    <row r="140">
      <c r="H140" s="11"/>
    </row>
    <row r="141">
      <c r="H141" s="11"/>
    </row>
    <row r="142">
      <c r="H142" s="11"/>
    </row>
    <row r="143">
      <c r="H143" s="11"/>
    </row>
    <row r="144">
      <c r="H144" s="11"/>
    </row>
    <row r="145">
      <c r="H145" s="11"/>
    </row>
    <row r="146">
      <c r="H146" s="11"/>
    </row>
    <row r="147">
      <c r="H147" s="11"/>
    </row>
    <row r="148">
      <c r="H148" s="11"/>
    </row>
    <row r="149">
      <c r="H149" s="11"/>
    </row>
    <row r="150">
      <c r="H150" s="11"/>
    </row>
    <row r="151">
      <c r="H151" s="11"/>
    </row>
    <row r="152">
      <c r="H152" s="11"/>
    </row>
    <row r="153">
      <c r="H153" s="11"/>
    </row>
    <row r="154">
      <c r="H154" s="11"/>
    </row>
    <row r="155">
      <c r="H155" s="11"/>
    </row>
    <row r="156">
      <c r="H156" s="11"/>
    </row>
    <row r="157">
      <c r="H157" s="11"/>
    </row>
    <row r="158">
      <c r="H158" s="11"/>
    </row>
    <row r="159">
      <c r="H159" s="11"/>
    </row>
    <row r="160">
      <c r="H160" s="11"/>
    </row>
    <row r="161">
      <c r="H161" s="11"/>
    </row>
    <row r="162">
      <c r="H162" s="11"/>
    </row>
    <row r="163">
      <c r="H163" s="11"/>
    </row>
    <row r="164">
      <c r="H164" s="11"/>
    </row>
    <row r="165">
      <c r="H165" s="11"/>
    </row>
    <row r="166">
      <c r="H166" s="11"/>
    </row>
    <row r="167">
      <c r="H167" s="11"/>
    </row>
    <row r="168">
      <c r="H168" s="11"/>
    </row>
    <row r="169">
      <c r="H169" s="11"/>
    </row>
    <row r="170">
      <c r="H170" s="11"/>
    </row>
    <row r="171">
      <c r="H171" s="11"/>
    </row>
    <row r="172">
      <c r="H172" s="11"/>
    </row>
    <row r="173">
      <c r="H173" s="11"/>
    </row>
    <row r="174">
      <c r="H174" s="11"/>
    </row>
    <row r="175">
      <c r="H175" s="11"/>
    </row>
    <row r="176">
      <c r="H176" s="11"/>
    </row>
    <row r="177">
      <c r="H177" s="11"/>
    </row>
    <row r="178">
      <c r="H178" s="11"/>
    </row>
    <row r="179">
      <c r="H179" s="11"/>
    </row>
    <row r="180">
      <c r="H180" s="11"/>
    </row>
    <row r="181">
      <c r="H181" s="11"/>
    </row>
    <row r="182">
      <c r="H182" s="11"/>
    </row>
    <row r="183">
      <c r="H183" s="11"/>
    </row>
    <row r="184">
      <c r="H184" s="11"/>
    </row>
    <row r="185">
      <c r="H185" s="11"/>
    </row>
    <row r="186">
      <c r="H186" s="11"/>
    </row>
    <row r="187">
      <c r="H187" s="11"/>
    </row>
    <row r="188">
      <c r="H188" s="11"/>
    </row>
    <row r="189">
      <c r="H189" s="11"/>
    </row>
    <row r="190">
      <c r="H190" s="11"/>
    </row>
    <row r="191">
      <c r="H191" s="11"/>
    </row>
    <row r="192">
      <c r="H192" s="11"/>
    </row>
    <row r="193">
      <c r="H193" s="11"/>
    </row>
    <row r="194">
      <c r="H194" s="11"/>
    </row>
    <row r="195">
      <c r="H195" s="11"/>
    </row>
    <row r="196">
      <c r="H196" s="11"/>
    </row>
    <row r="197">
      <c r="H197" s="11"/>
    </row>
    <row r="198">
      <c r="H198" s="11"/>
    </row>
    <row r="199">
      <c r="H199" s="11"/>
    </row>
    <row r="200">
      <c r="H200" s="11"/>
    </row>
    <row r="201">
      <c r="H201" s="11"/>
    </row>
    <row r="202">
      <c r="H202" s="11"/>
    </row>
    <row r="203">
      <c r="H203" s="11"/>
    </row>
    <row r="204">
      <c r="H204" s="11"/>
    </row>
    <row r="205">
      <c r="H205" s="11"/>
    </row>
    <row r="206">
      <c r="H206" s="11"/>
    </row>
    <row r="207">
      <c r="H207" s="11"/>
    </row>
    <row r="208">
      <c r="H208" s="11"/>
    </row>
    <row r="209">
      <c r="H209" s="11"/>
    </row>
    <row r="210">
      <c r="H210" s="11"/>
    </row>
    <row r="211">
      <c r="H211" s="11"/>
    </row>
    <row r="212">
      <c r="H212" s="11"/>
    </row>
    <row r="213">
      <c r="H213" s="11"/>
    </row>
    <row r="214">
      <c r="H214" s="11"/>
    </row>
    <row r="215">
      <c r="H215" s="11"/>
    </row>
    <row r="216">
      <c r="H216" s="11"/>
    </row>
    <row r="217">
      <c r="H217" s="11"/>
    </row>
    <row r="218">
      <c r="H218" s="11"/>
    </row>
    <row r="219">
      <c r="H219" s="11"/>
    </row>
    <row r="220">
      <c r="H220" s="11"/>
    </row>
    <row r="221">
      <c r="H221" s="11"/>
    </row>
    <row r="222">
      <c r="H222" s="11"/>
    </row>
    <row r="223">
      <c r="H223" s="11"/>
    </row>
    <row r="224">
      <c r="H224" s="11"/>
    </row>
    <row r="225">
      <c r="H225" s="11"/>
    </row>
    <row r="226">
      <c r="H226" s="11"/>
    </row>
    <row r="227">
      <c r="H227" s="11"/>
    </row>
    <row r="228">
      <c r="H228" s="11"/>
    </row>
    <row r="229">
      <c r="H229" s="11"/>
    </row>
    <row r="230">
      <c r="H230" s="11"/>
    </row>
    <row r="231">
      <c r="H231" s="11"/>
    </row>
    <row r="232">
      <c r="H232" s="11"/>
    </row>
    <row r="233">
      <c r="H233" s="11"/>
    </row>
    <row r="234">
      <c r="H234" s="11"/>
    </row>
    <row r="235">
      <c r="H235" s="11"/>
    </row>
    <row r="236">
      <c r="H236" s="11"/>
    </row>
    <row r="237">
      <c r="H237" s="11"/>
    </row>
    <row r="238">
      <c r="H238" s="11"/>
    </row>
    <row r="239">
      <c r="H239" s="11"/>
    </row>
    <row r="240">
      <c r="H240" s="11"/>
    </row>
    <row r="241">
      <c r="H241" s="11"/>
    </row>
    <row r="242">
      <c r="H242" s="11"/>
    </row>
    <row r="243">
      <c r="H243" s="11"/>
    </row>
    <row r="244">
      <c r="H244" s="11"/>
    </row>
    <row r="245">
      <c r="H245" s="11"/>
    </row>
    <row r="246">
      <c r="H246" s="11"/>
    </row>
    <row r="247">
      <c r="H247" s="11"/>
    </row>
    <row r="248">
      <c r="H248" s="11"/>
    </row>
    <row r="249">
      <c r="H249" s="11"/>
    </row>
    <row r="250">
      <c r="H250" s="11"/>
    </row>
    <row r="251">
      <c r="H251" s="11"/>
    </row>
    <row r="252">
      <c r="H252" s="11"/>
    </row>
    <row r="253">
      <c r="H253" s="11"/>
    </row>
    <row r="254">
      <c r="H254" s="11"/>
    </row>
    <row r="255">
      <c r="H255" s="11"/>
    </row>
    <row r="256">
      <c r="H256" s="11"/>
    </row>
    <row r="257">
      <c r="H257" s="11"/>
    </row>
    <row r="258">
      <c r="H258" s="11"/>
    </row>
    <row r="259">
      <c r="H259" s="11"/>
    </row>
    <row r="260">
      <c r="H260" s="11"/>
    </row>
    <row r="261">
      <c r="H261" s="11"/>
    </row>
    <row r="262">
      <c r="H262" s="11"/>
    </row>
    <row r="263">
      <c r="H263" s="11"/>
    </row>
    <row r="264">
      <c r="H264" s="11"/>
    </row>
    <row r="265">
      <c r="H265" s="11"/>
    </row>
    <row r="266">
      <c r="H266" s="11"/>
    </row>
    <row r="267">
      <c r="H267" s="11"/>
    </row>
    <row r="268">
      <c r="H268" s="11"/>
    </row>
    <row r="269">
      <c r="H269" s="11"/>
    </row>
    <row r="270">
      <c r="H270" s="11"/>
    </row>
    <row r="271">
      <c r="H271" s="11"/>
    </row>
    <row r="272">
      <c r="H272" s="11"/>
    </row>
    <row r="273">
      <c r="H273" s="11"/>
    </row>
    <row r="274">
      <c r="H274" s="11"/>
    </row>
    <row r="275">
      <c r="H275" s="11"/>
    </row>
    <row r="276">
      <c r="H276" s="11"/>
    </row>
    <row r="277">
      <c r="H277" s="11"/>
    </row>
    <row r="278">
      <c r="H278" s="11"/>
    </row>
    <row r="279">
      <c r="H279" s="11"/>
    </row>
    <row r="280">
      <c r="H280" s="11"/>
    </row>
    <row r="281">
      <c r="H281" s="11"/>
    </row>
    <row r="282">
      <c r="H282" s="11"/>
    </row>
    <row r="283">
      <c r="H283" s="11"/>
    </row>
    <row r="284">
      <c r="H284" s="11"/>
    </row>
    <row r="285">
      <c r="H285" s="11"/>
    </row>
    <row r="286">
      <c r="H286" s="11"/>
    </row>
    <row r="287">
      <c r="H287" s="11"/>
    </row>
    <row r="288">
      <c r="H288" s="11"/>
    </row>
    <row r="289">
      <c r="H289" s="11"/>
    </row>
    <row r="290">
      <c r="H290" s="11"/>
    </row>
    <row r="291">
      <c r="H291" s="11"/>
    </row>
    <row r="292">
      <c r="H292" s="11"/>
    </row>
    <row r="293">
      <c r="H293" s="11"/>
    </row>
    <row r="294">
      <c r="H294" s="11"/>
    </row>
    <row r="295">
      <c r="H295" s="11"/>
    </row>
    <row r="296">
      <c r="H296" s="11"/>
    </row>
    <row r="297">
      <c r="H297" s="11"/>
    </row>
    <row r="298">
      <c r="H298" s="11"/>
    </row>
    <row r="299">
      <c r="H299" s="11"/>
    </row>
    <row r="300">
      <c r="H300" s="11"/>
    </row>
    <row r="301">
      <c r="H301" s="11"/>
    </row>
    <row r="302">
      <c r="H302" s="11"/>
    </row>
    <row r="303">
      <c r="H303" s="11"/>
    </row>
    <row r="304">
      <c r="H304" s="11"/>
    </row>
    <row r="305">
      <c r="H305" s="11"/>
    </row>
    <row r="306">
      <c r="H306" s="11"/>
    </row>
    <row r="307">
      <c r="H307" s="11"/>
    </row>
    <row r="308">
      <c r="H308" s="11"/>
    </row>
    <row r="309">
      <c r="H309" s="11"/>
    </row>
    <row r="310">
      <c r="H310" s="11"/>
    </row>
    <row r="311">
      <c r="H311" s="11"/>
    </row>
    <row r="312">
      <c r="H312" s="11"/>
    </row>
    <row r="313">
      <c r="H313" s="11"/>
    </row>
    <row r="314">
      <c r="H314" s="11"/>
    </row>
    <row r="315">
      <c r="H315" s="11"/>
    </row>
    <row r="316">
      <c r="H316" s="11"/>
    </row>
    <row r="317">
      <c r="H317" s="11"/>
    </row>
    <row r="318">
      <c r="H318" s="11"/>
    </row>
    <row r="319">
      <c r="H319" s="11"/>
    </row>
    <row r="320">
      <c r="H320" s="11"/>
    </row>
    <row r="321">
      <c r="H321" s="11"/>
    </row>
    <row r="322">
      <c r="H322" s="11"/>
    </row>
    <row r="323">
      <c r="H323" s="11"/>
    </row>
    <row r="324">
      <c r="H324" s="11"/>
    </row>
    <row r="325">
      <c r="H325" s="11"/>
    </row>
    <row r="326">
      <c r="H326" s="11"/>
    </row>
    <row r="327">
      <c r="H327" s="11"/>
    </row>
    <row r="328">
      <c r="H328" s="11"/>
    </row>
    <row r="329">
      <c r="H329" s="11"/>
    </row>
    <row r="330">
      <c r="H330" s="11"/>
    </row>
    <row r="331">
      <c r="H331" s="11"/>
    </row>
    <row r="332">
      <c r="H332" s="11"/>
    </row>
    <row r="333">
      <c r="H333" s="11"/>
    </row>
    <row r="334">
      <c r="H334" s="11"/>
    </row>
    <row r="335">
      <c r="H335" s="11"/>
    </row>
    <row r="336">
      <c r="H336" s="11"/>
    </row>
    <row r="337">
      <c r="H337" s="11"/>
    </row>
    <row r="338">
      <c r="H338" s="11"/>
    </row>
    <row r="339">
      <c r="H339" s="11"/>
    </row>
    <row r="340">
      <c r="H340" s="11"/>
    </row>
    <row r="341">
      <c r="H341" s="11"/>
    </row>
    <row r="342">
      <c r="H342" s="11"/>
    </row>
    <row r="343">
      <c r="H343" s="11"/>
    </row>
    <row r="344">
      <c r="H344" s="11"/>
    </row>
    <row r="345">
      <c r="H345" s="11"/>
    </row>
    <row r="346">
      <c r="H346" s="11"/>
    </row>
    <row r="347">
      <c r="H347" s="11"/>
    </row>
    <row r="348">
      <c r="H348" s="11"/>
    </row>
    <row r="349">
      <c r="H349" s="11"/>
    </row>
    <row r="350">
      <c r="H350" s="11"/>
    </row>
    <row r="351">
      <c r="H351" s="11"/>
    </row>
    <row r="352">
      <c r="H352" s="11"/>
    </row>
    <row r="353">
      <c r="H353" s="11"/>
    </row>
    <row r="354">
      <c r="H354" s="11"/>
    </row>
    <row r="355">
      <c r="H355" s="11"/>
    </row>
    <row r="356">
      <c r="H356" s="11"/>
    </row>
    <row r="357">
      <c r="H357" s="11"/>
    </row>
    <row r="358">
      <c r="H358" s="11"/>
    </row>
    <row r="359">
      <c r="H359" s="11"/>
    </row>
    <row r="360">
      <c r="H360" s="11"/>
    </row>
    <row r="361">
      <c r="H361" s="11"/>
    </row>
    <row r="362">
      <c r="H362" s="11"/>
    </row>
    <row r="363">
      <c r="H363" s="11"/>
    </row>
    <row r="364">
      <c r="H364" s="11"/>
    </row>
    <row r="365">
      <c r="H365" s="11"/>
    </row>
    <row r="366">
      <c r="H366" s="11"/>
    </row>
    <row r="367">
      <c r="H367" s="11"/>
    </row>
    <row r="368">
      <c r="H368" s="11"/>
    </row>
    <row r="369">
      <c r="H369" s="11"/>
    </row>
    <row r="370">
      <c r="H370" s="11"/>
    </row>
    <row r="371">
      <c r="H371" s="11"/>
    </row>
    <row r="372">
      <c r="H372" s="11"/>
    </row>
    <row r="373">
      <c r="H373" s="11"/>
    </row>
    <row r="374">
      <c r="H374" s="11"/>
    </row>
    <row r="375">
      <c r="H375" s="11"/>
    </row>
    <row r="376">
      <c r="H376" s="11"/>
    </row>
    <row r="377">
      <c r="H377" s="11"/>
    </row>
    <row r="378">
      <c r="H378" s="11"/>
    </row>
    <row r="379">
      <c r="H379" s="11"/>
    </row>
    <row r="380">
      <c r="H380" s="11"/>
    </row>
    <row r="381">
      <c r="H381" s="11"/>
    </row>
    <row r="382">
      <c r="H382" s="11"/>
    </row>
    <row r="383">
      <c r="H383" s="11"/>
    </row>
    <row r="384">
      <c r="H384" s="11"/>
    </row>
    <row r="385">
      <c r="H385" s="11"/>
    </row>
    <row r="386">
      <c r="H386" s="11"/>
    </row>
    <row r="387">
      <c r="H387" s="11"/>
    </row>
    <row r="388">
      <c r="H388" s="11"/>
    </row>
    <row r="389">
      <c r="H389" s="11"/>
    </row>
    <row r="390">
      <c r="H390" s="11"/>
    </row>
    <row r="391">
      <c r="H391" s="11"/>
    </row>
    <row r="392">
      <c r="H392" s="11"/>
    </row>
    <row r="393">
      <c r="H393" s="11"/>
    </row>
    <row r="394">
      <c r="H394" s="11"/>
    </row>
    <row r="395">
      <c r="H395" s="11"/>
    </row>
    <row r="396">
      <c r="H396" s="11"/>
    </row>
    <row r="397">
      <c r="H397" s="11"/>
    </row>
    <row r="398">
      <c r="H398" s="11"/>
    </row>
    <row r="399">
      <c r="H399" s="11"/>
    </row>
    <row r="400">
      <c r="H400" s="11"/>
    </row>
    <row r="401">
      <c r="H401" s="11"/>
    </row>
    <row r="402">
      <c r="H402" s="11"/>
    </row>
    <row r="403">
      <c r="H403" s="11"/>
    </row>
    <row r="404">
      <c r="H404" s="11"/>
    </row>
    <row r="405">
      <c r="H405" s="11"/>
    </row>
    <row r="406">
      <c r="H406" s="11"/>
    </row>
    <row r="407">
      <c r="H407" s="11"/>
    </row>
    <row r="408">
      <c r="H408" s="11"/>
    </row>
    <row r="409">
      <c r="H409" s="11"/>
    </row>
    <row r="410">
      <c r="H410" s="11"/>
    </row>
    <row r="411">
      <c r="H411" s="11"/>
    </row>
    <row r="412">
      <c r="H412" s="11"/>
    </row>
    <row r="413">
      <c r="H413" s="11"/>
    </row>
    <row r="414">
      <c r="H414" s="11"/>
    </row>
    <row r="415">
      <c r="H415" s="11"/>
    </row>
    <row r="416">
      <c r="H416" s="11"/>
    </row>
    <row r="417">
      <c r="H417" s="11"/>
    </row>
    <row r="418">
      <c r="H418" s="11"/>
    </row>
    <row r="419">
      <c r="H419" s="11"/>
    </row>
    <row r="420">
      <c r="H420" s="11"/>
    </row>
    <row r="421">
      <c r="H421" s="11"/>
    </row>
    <row r="422">
      <c r="H422" s="11"/>
    </row>
    <row r="423">
      <c r="H423" s="11"/>
    </row>
    <row r="424">
      <c r="H424" s="11"/>
    </row>
    <row r="425">
      <c r="H425" s="11"/>
    </row>
    <row r="426">
      <c r="H426" s="11"/>
    </row>
    <row r="427">
      <c r="H427" s="11"/>
    </row>
    <row r="428">
      <c r="H428" s="11"/>
    </row>
    <row r="429">
      <c r="H429" s="11"/>
    </row>
    <row r="430">
      <c r="H430" s="11"/>
    </row>
    <row r="431">
      <c r="H431" s="11"/>
    </row>
    <row r="432">
      <c r="H432" s="11"/>
    </row>
    <row r="433">
      <c r="H433" s="11"/>
    </row>
    <row r="434">
      <c r="H434" s="11"/>
    </row>
    <row r="435">
      <c r="H435" s="11"/>
    </row>
    <row r="436">
      <c r="H436" s="11"/>
    </row>
    <row r="437">
      <c r="H437" s="11"/>
    </row>
    <row r="438">
      <c r="H438" s="11"/>
    </row>
    <row r="439">
      <c r="H439" s="11"/>
    </row>
    <row r="440">
      <c r="H440" s="11"/>
    </row>
    <row r="441">
      <c r="H441" s="11"/>
    </row>
    <row r="442">
      <c r="H442" s="11"/>
    </row>
    <row r="443">
      <c r="H443" s="11"/>
    </row>
    <row r="444">
      <c r="H444" s="11"/>
    </row>
    <row r="445">
      <c r="H445" s="11"/>
    </row>
    <row r="446">
      <c r="H446" s="11"/>
    </row>
    <row r="447">
      <c r="H447" s="11"/>
    </row>
    <row r="448">
      <c r="H448" s="11"/>
    </row>
    <row r="449">
      <c r="H449" s="11"/>
    </row>
    <row r="450">
      <c r="H450" s="11"/>
    </row>
    <row r="451">
      <c r="H451" s="11"/>
    </row>
    <row r="452">
      <c r="H452" s="11"/>
    </row>
    <row r="453">
      <c r="H453" s="11"/>
    </row>
    <row r="454">
      <c r="H454" s="11"/>
    </row>
    <row r="455">
      <c r="H455" s="11"/>
    </row>
    <row r="456">
      <c r="H456" s="11"/>
    </row>
    <row r="457">
      <c r="H457" s="11"/>
    </row>
    <row r="458">
      <c r="H458" s="11"/>
    </row>
    <row r="459">
      <c r="H459" s="11"/>
    </row>
    <row r="460">
      <c r="H460" s="11"/>
    </row>
    <row r="461">
      <c r="H461" s="11"/>
    </row>
    <row r="462">
      <c r="H462" s="11"/>
    </row>
    <row r="463">
      <c r="H463" s="11"/>
    </row>
    <row r="464">
      <c r="H464" s="11"/>
    </row>
    <row r="465">
      <c r="H465" s="11"/>
    </row>
    <row r="466">
      <c r="H466" s="11"/>
    </row>
    <row r="467">
      <c r="H467" s="11"/>
    </row>
    <row r="468">
      <c r="H468" s="11"/>
    </row>
    <row r="469">
      <c r="H469" s="11"/>
    </row>
    <row r="470">
      <c r="H470" s="11"/>
    </row>
    <row r="471">
      <c r="H471" s="11"/>
    </row>
    <row r="472">
      <c r="H472" s="11"/>
    </row>
    <row r="473">
      <c r="H473" s="11"/>
    </row>
    <row r="474">
      <c r="H474" s="11"/>
    </row>
    <row r="475">
      <c r="H475" s="11"/>
    </row>
    <row r="476">
      <c r="H476" s="11"/>
    </row>
    <row r="477">
      <c r="H477" s="11"/>
    </row>
    <row r="478">
      <c r="H478" s="11"/>
    </row>
    <row r="479">
      <c r="H479" s="11"/>
    </row>
    <row r="480">
      <c r="H480" s="11"/>
    </row>
    <row r="481">
      <c r="H481" s="11"/>
    </row>
    <row r="482">
      <c r="H482" s="11"/>
    </row>
    <row r="483">
      <c r="H483" s="11"/>
    </row>
    <row r="484">
      <c r="H484" s="11"/>
    </row>
    <row r="485">
      <c r="H485" s="11"/>
    </row>
    <row r="486">
      <c r="H486" s="11"/>
    </row>
    <row r="487">
      <c r="H487" s="11"/>
    </row>
    <row r="488">
      <c r="H488" s="11"/>
    </row>
    <row r="489">
      <c r="H489" s="11"/>
    </row>
    <row r="490">
      <c r="H490" s="11"/>
    </row>
    <row r="491">
      <c r="H491" s="11"/>
    </row>
    <row r="492">
      <c r="H492" s="11"/>
    </row>
    <row r="493">
      <c r="H493" s="11"/>
    </row>
    <row r="494">
      <c r="H494" s="11"/>
    </row>
    <row r="495">
      <c r="H495" s="11"/>
    </row>
    <row r="496">
      <c r="H496" s="11"/>
    </row>
    <row r="497">
      <c r="H497" s="11"/>
    </row>
    <row r="498">
      <c r="H498" s="11"/>
    </row>
    <row r="499">
      <c r="H499" s="11"/>
    </row>
    <row r="500">
      <c r="H500" s="11"/>
    </row>
    <row r="501">
      <c r="H501" s="11"/>
    </row>
    <row r="502">
      <c r="H502" s="11"/>
    </row>
    <row r="503">
      <c r="H503" s="11"/>
    </row>
    <row r="504">
      <c r="H504" s="11"/>
    </row>
    <row r="505">
      <c r="H505" s="11"/>
    </row>
    <row r="506">
      <c r="H506" s="11"/>
    </row>
    <row r="507">
      <c r="H507" s="11"/>
    </row>
    <row r="508">
      <c r="H508" s="11"/>
    </row>
    <row r="509">
      <c r="H509" s="11"/>
    </row>
    <row r="510">
      <c r="H510" s="11"/>
    </row>
    <row r="511">
      <c r="H511" s="11"/>
    </row>
    <row r="512">
      <c r="H512" s="11"/>
    </row>
    <row r="513">
      <c r="H513" s="11"/>
    </row>
    <row r="514">
      <c r="H514" s="11"/>
    </row>
    <row r="515">
      <c r="H515" s="11"/>
    </row>
    <row r="516">
      <c r="H516" s="11"/>
    </row>
    <row r="517">
      <c r="H517" s="11"/>
    </row>
    <row r="518">
      <c r="H518" s="11"/>
    </row>
    <row r="519">
      <c r="H519" s="11"/>
    </row>
    <row r="520">
      <c r="H520" s="11"/>
    </row>
    <row r="521">
      <c r="H521" s="11"/>
    </row>
    <row r="522">
      <c r="H522" s="11"/>
    </row>
    <row r="523">
      <c r="H523" s="11"/>
    </row>
    <row r="524">
      <c r="H524" s="11"/>
    </row>
    <row r="525">
      <c r="H525" s="11"/>
    </row>
    <row r="526">
      <c r="H526" s="11"/>
    </row>
    <row r="527">
      <c r="H527" s="11"/>
    </row>
    <row r="528">
      <c r="H528" s="11"/>
    </row>
    <row r="529">
      <c r="H529" s="11"/>
    </row>
    <row r="530">
      <c r="H530" s="11"/>
    </row>
    <row r="531">
      <c r="H531" s="11"/>
    </row>
    <row r="532">
      <c r="H532" s="11"/>
    </row>
    <row r="533">
      <c r="H533" s="11"/>
    </row>
    <row r="534">
      <c r="H534" s="11"/>
    </row>
    <row r="535">
      <c r="H535" s="11"/>
    </row>
    <row r="536">
      <c r="H536" s="11"/>
    </row>
    <row r="537">
      <c r="H537" s="11"/>
    </row>
    <row r="538">
      <c r="H538" s="11"/>
    </row>
    <row r="539">
      <c r="H539" s="11"/>
    </row>
    <row r="540">
      <c r="H540" s="11"/>
    </row>
    <row r="541">
      <c r="H541" s="11"/>
    </row>
    <row r="542">
      <c r="H542" s="11"/>
    </row>
    <row r="543">
      <c r="H543" s="11"/>
    </row>
    <row r="544">
      <c r="H544" s="11"/>
    </row>
    <row r="545">
      <c r="H545" s="11"/>
    </row>
    <row r="546">
      <c r="H546" s="11"/>
    </row>
    <row r="547">
      <c r="H547" s="11"/>
    </row>
    <row r="548">
      <c r="H548" s="11"/>
    </row>
    <row r="549">
      <c r="H549" s="11"/>
    </row>
    <row r="550">
      <c r="H550" s="11"/>
    </row>
    <row r="551">
      <c r="H551" s="11"/>
    </row>
    <row r="552">
      <c r="H552" s="11"/>
    </row>
    <row r="553">
      <c r="H553" s="11"/>
    </row>
    <row r="554">
      <c r="H554" s="11"/>
    </row>
    <row r="555">
      <c r="H555" s="11"/>
    </row>
    <row r="556">
      <c r="H556" s="11"/>
    </row>
    <row r="557">
      <c r="H557" s="11"/>
    </row>
    <row r="558">
      <c r="H558" s="11"/>
    </row>
    <row r="559">
      <c r="H559" s="11"/>
    </row>
    <row r="560">
      <c r="H560" s="11"/>
    </row>
    <row r="561">
      <c r="H561" s="11"/>
    </row>
    <row r="562">
      <c r="H562" s="11"/>
    </row>
    <row r="563">
      <c r="H563" s="11"/>
    </row>
    <row r="564">
      <c r="H564" s="11"/>
    </row>
    <row r="565">
      <c r="H565" s="11"/>
    </row>
    <row r="566">
      <c r="H566" s="11"/>
    </row>
    <row r="567">
      <c r="H567" s="11"/>
    </row>
    <row r="568">
      <c r="H568" s="11"/>
    </row>
    <row r="569">
      <c r="H569" s="11"/>
    </row>
    <row r="570">
      <c r="H570" s="11"/>
    </row>
    <row r="571">
      <c r="H571" s="11"/>
    </row>
    <row r="572">
      <c r="H572" s="11"/>
    </row>
    <row r="573">
      <c r="H573" s="11"/>
    </row>
    <row r="574">
      <c r="H574" s="11"/>
    </row>
    <row r="575">
      <c r="H575" s="11"/>
    </row>
    <row r="576">
      <c r="H576" s="11"/>
    </row>
    <row r="577">
      <c r="H577" s="11"/>
    </row>
    <row r="578">
      <c r="H578" s="11"/>
    </row>
    <row r="579">
      <c r="H579" s="11"/>
    </row>
    <row r="580">
      <c r="H580" s="11"/>
    </row>
    <row r="581">
      <c r="H581" s="11"/>
    </row>
    <row r="582">
      <c r="H582" s="11"/>
    </row>
    <row r="583">
      <c r="H583" s="11"/>
    </row>
    <row r="584">
      <c r="H584" s="11"/>
    </row>
    <row r="585">
      <c r="H585" s="11"/>
    </row>
    <row r="586">
      <c r="H586" s="11"/>
    </row>
    <row r="587">
      <c r="H587" s="11"/>
    </row>
    <row r="588">
      <c r="H588" s="11"/>
    </row>
    <row r="589">
      <c r="H589" s="11"/>
    </row>
    <row r="590">
      <c r="H590" s="11"/>
    </row>
    <row r="591">
      <c r="H591" s="11"/>
    </row>
    <row r="592">
      <c r="H592" s="11"/>
    </row>
    <row r="593">
      <c r="H593" s="11"/>
    </row>
    <row r="594">
      <c r="H594" s="11"/>
    </row>
    <row r="595">
      <c r="H595" s="11"/>
    </row>
    <row r="596">
      <c r="H596" s="11"/>
    </row>
    <row r="597">
      <c r="H597" s="11"/>
    </row>
    <row r="598">
      <c r="H598" s="11"/>
    </row>
    <row r="599">
      <c r="H599" s="11"/>
    </row>
    <row r="600">
      <c r="H600" s="11"/>
    </row>
    <row r="601">
      <c r="H601" s="11"/>
    </row>
    <row r="602">
      <c r="H602" s="11"/>
    </row>
    <row r="603">
      <c r="H603" s="11"/>
    </row>
    <row r="604">
      <c r="H604" s="11"/>
    </row>
    <row r="605">
      <c r="H605" s="11"/>
    </row>
    <row r="606">
      <c r="H606" s="11"/>
    </row>
    <row r="607">
      <c r="H607" s="11"/>
    </row>
    <row r="608">
      <c r="H608" s="11"/>
    </row>
    <row r="609">
      <c r="H609" s="11"/>
    </row>
    <row r="610">
      <c r="H610" s="11"/>
    </row>
    <row r="611">
      <c r="H611" s="11"/>
    </row>
    <row r="612">
      <c r="H612" s="11"/>
    </row>
    <row r="613">
      <c r="H613" s="11"/>
    </row>
    <row r="614">
      <c r="H614" s="11"/>
    </row>
    <row r="615">
      <c r="H615" s="11"/>
    </row>
    <row r="616">
      <c r="H616" s="11"/>
    </row>
    <row r="617">
      <c r="H617" s="11"/>
    </row>
    <row r="618">
      <c r="H618" s="11"/>
    </row>
    <row r="619">
      <c r="H619" s="11"/>
    </row>
    <row r="620">
      <c r="H620" s="11"/>
    </row>
    <row r="621">
      <c r="H621" s="11"/>
    </row>
    <row r="622">
      <c r="H622" s="11"/>
    </row>
    <row r="623">
      <c r="H623" s="11"/>
    </row>
    <row r="624">
      <c r="H624" s="11"/>
    </row>
    <row r="625">
      <c r="H625" s="11"/>
    </row>
    <row r="626">
      <c r="H626" s="11"/>
    </row>
    <row r="627">
      <c r="H627" s="11"/>
    </row>
    <row r="628">
      <c r="H628" s="11"/>
    </row>
    <row r="629">
      <c r="H629" s="11"/>
    </row>
    <row r="630">
      <c r="H630" s="11"/>
    </row>
    <row r="631">
      <c r="H631" s="11"/>
    </row>
    <row r="632">
      <c r="H632" s="11"/>
    </row>
    <row r="633">
      <c r="H633" s="11"/>
    </row>
    <row r="634">
      <c r="H634" s="11"/>
    </row>
    <row r="635">
      <c r="H635" s="11"/>
    </row>
    <row r="636">
      <c r="H636" s="11"/>
    </row>
    <row r="637">
      <c r="H637" s="11"/>
    </row>
    <row r="638">
      <c r="H638" s="11"/>
    </row>
    <row r="639">
      <c r="H639" s="11"/>
    </row>
    <row r="640">
      <c r="H640" s="11"/>
    </row>
    <row r="641">
      <c r="H641" s="11"/>
    </row>
    <row r="642">
      <c r="H642" s="11"/>
    </row>
    <row r="643">
      <c r="H643" s="11"/>
    </row>
    <row r="644">
      <c r="H644" s="11"/>
    </row>
    <row r="645">
      <c r="H645" s="11"/>
    </row>
    <row r="646">
      <c r="H646" s="11"/>
    </row>
    <row r="647">
      <c r="H647" s="11"/>
    </row>
    <row r="648">
      <c r="H648" s="11"/>
    </row>
    <row r="649">
      <c r="H649" s="11"/>
    </row>
    <row r="650">
      <c r="H650" s="11"/>
    </row>
    <row r="651">
      <c r="H651" s="11"/>
    </row>
    <row r="652">
      <c r="H652" s="11"/>
    </row>
    <row r="653">
      <c r="H653" s="11"/>
    </row>
    <row r="654">
      <c r="H654" s="11"/>
    </row>
    <row r="655">
      <c r="H655" s="11"/>
    </row>
    <row r="656">
      <c r="H656" s="11"/>
    </row>
    <row r="657">
      <c r="H657" s="11"/>
    </row>
    <row r="658">
      <c r="H658" s="11"/>
    </row>
    <row r="659">
      <c r="H659" s="11"/>
    </row>
    <row r="660">
      <c r="H660" s="11"/>
    </row>
    <row r="661">
      <c r="H661" s="11"/>
    </row>
    <row r="662">
      <c r="H662" s="11"/>
    </row>
    <row r="663">
      <c r="H663" s="11"/>
    </row>
    <row r="664">
      <c r="H664" s="11"/>
    </row>
    <row r="665">
      <c r="H665" s="11"/>
    </row>
    <row r="666">
      <c r="H666" s="11"/>
    </row>
    <row r="667">
      <c r="H667" s="11"/>
    </row>
    <row r="668">
      <c r="H668" s="11"/>
    </row>
    <row r="669">
      <c r="H669" s="11"/>
    </row>
    <row r="670">
      <c r="H670" s="11"/>
    </row>
    <row r="671">
      <c r="H671" s="11"/>
    </row>
    <row r="672">
      <c r="H672" s="11"/>
    </row>
    <row r="673">
      <c r="H673" s="11"/>
    </row>
    <row r="674">
      <c r="H674" s="11"/>
    </row>
    <row r="675">
      <c r="H675" s="11"/>
    </row>
    <row r="676">
      <c r="H676" s="11"/>
    </row>
    <row r="677">
      <c r="H677" s="11"/>
    </row>
    <row r="678">
      <c r="H678" s="11"/>
    </row>
    <row r="679">
      <c r="H679" s="11"/>
    </row>
    <row r="680">
      <c r="H680" s="11"/>
    </row>
    <row r="681">
      <c r="H681" s="11"/>
    </row>
    <row r="682">
      <c r="H682" s="11"/>
    </row>
    <row r="683">
      <c r="H683" s="11"/>
    </row>
    <row r="684">
      <c r="H684" s="11"/>
    </row>
    <row r="685">
      <c r="H685" s="11"/>
    </row>
    <row r="686">
      <c r="H686" s="11"/>
    </row>
    <row r="687">
      <c r="H687" s="11"/>
    </row>
    <row r="688">
      <c r="H688" s="11"/>
    </row>
    <row r="689">
      <c r="H689" s="11"/>
    </row>
    <row r="690">
      <c r="H690" s="11"/>
    </row>
    <row r="691">
      <c r="H691" s="11"/>
    </row>
    <row r="692">
      <c r="H692" s="11"/>
    </row>
    <row r="693">
      <c r="H693" s="11"/>
    </row>
    <row r="694">
      <c r="H694" s="11"/>
    </row>
    <row r="695">
      <c r="H695" s="11"/>
    </row>
    <row r="696">
      <c r="H696" s="11"/>
    </row>
    <row r="697">
      <c r="H697" s="11"/>
    </row>
    <row r="698">
      <c r="H698" s="11"/>
    </row>
    <row r="699">
      <c r="H699" s="11"/>
    </row>
    <row r="700">
      <c r="H700" s="11"/>
    </row>
    <row r="701">
      <c r="H701" s="11"/>
    </row>
    <row r="702">
      <c r="H702" s="11"/>
    </row>
    <row r="703">
      <c r="H703" s="11"/>
    </row>
    <row r="704">
      <c r="H704" s="11"/>
    </row>
    <row r="705">
      <c r="H705" s="11"/>
    </row>
    <row r="706">
      <c r="H706" s="11"/>
    </row>
    <row r="707">
      <c r="H707" s="11"/>
    </row>
    <row r="708">
      <c r="H708" s="11"/>
    </row>
    <row r="709">
      <c r="H709" s="11"/>
    </row>
    <row r="710">
      <c r="H710" s="11"/>
    </row>
    <row r="711">
      <c r="H711" s="11"/>
    </row>
    <row r="712">
      <c r="H712" s="11"/>
    </row>
    <row r="713">
      <c r="H713" s="11"/>
    </row>
    <row r="714">
      <c r="H714" s="11"/>
    </row>
    <row r="715">
      <c r="H715" s="11"/>
    </row>
    <row r="716">
      <c r="H716" s="11"/>
    </row>
    <row r="717">
      <c r="H717" s="11"/>
    </row>
    <row r="718">
      <c r="H718" s="11"/>
    </row>
    <row r="719">
      <c r="H719" s="11"/>
    </row>
    <row r="720">
      <c r="H720" s="11"/>
    </row>
    <row r="721">
      <c r="H721" s="11"/>
    </row>
    <row r="722">
      <c r="H722" s="11"/>
    </row>
    <row r="723">
      <c r="H723" s="11"/>
    </row>
    <row r="724">
      <c r="H724" s="11"/>
    </row>
    <row r="725">
      <c r="H725" s="11"/>
    </row>
    <row r="726">
      <c r="H726" s="11"/>
    </row>
    <row r="727">
      <c r="H727" s="11"/>
    </row>
    <row r="728">
      <c r="H728" s="11"/>
    </row>
    <row r="729">
      <c r="H729" s="11"/>
    </row>
    <row r="730">
      <c r="H730" s="11"/>
    </row>
    <row r="731">
      <c r="H731" s="11"/>
    </row>
    <row r="732">
      <c r="H732" s="11"/>
    </row>
    <row r="733">
      <c r="H733" s="11"/>
    </row>
    <row r="734">
      <c r="H734" s="11"/>
    </row>
    <row r="735">
      <c r="H735" s="11"/>
    </row>
    <row r="736">
      <c r="H736" s="11"/>
    </row>
    <row r="737">
      <c r="H737" s="11"/>
    </row>
    <row r="738">
      <c r="H738" s="11"/>
    </row>
    <row r="739">
      <c r="H739" s="11"/>
    </row>
    <row r="740">
      <c r="H740" s="11"/>
    </row>
    <row r="741">
      <c r="H741" s="11"/>
    </row>
    <row r="742">
      <c r="H742" s="11"/>
    </row>
    <row r="743">
      <c r="H743" s="11"/>
    </row>
    <row r="744">
      <c r="H744" s="11"/>
    </row>
    <row r="745">
      <c r="H745" s="11"/>
    </row>
    <row r="746">
      <c r="H746" s="11"/>
    </row>
    <row r="747">
      <c r="H747" s="11"/>
    </row>
    <row r="748">
      <c r="H748" s="11"/>
    </row>
    <row r="749">
      <c r="H749" s="11"/>
    </row>
    <row r="750">
      <c r="H750" s="11"/>
    </row>
    <row r="751">
      <c r="H751" s="11"/>
    </row>
    <row r="752">
      <c r="H752" s="11"/>
    </row>
    <row r="753">
      <c r="H753" s="11"/>
    </row>
    <row r="754">
      <c r="H754" s="11"/>
    </row>
    <row r="755">
      <c r="H755" s="11"/>
    </row>
    <row r="756">
      <c r="H756" s="11"/>
    </row>
    <row r="757">
      <c r="H757" s="11"/>
    </row>
    <row r="758">
      <c r="H758" s="11"/>
    </row>
    <row r="759">
      <c r="H759" s="11"/>
    </row>
    <row r="760">
      <c r="H760" s="11"/>
    </row>
    <row r="761">
      <c r="H761" s="11"/>
    </row>
    <row r="762">
      <c r="H762" s="11"/>
    </row>
    <row r="763">
      <c r="H763" s="11"/>
    </row>
    <row r="764">
      <c r="H764" s="11"/>
    </row>
    <row r="765">
      <c r="H765" s="11"/>
    </row>
    <row r="766">
      <c r="H766" s="11"/>
    </row>
    <row r="767">
      <c r="H767" s="11"/>
    </row>
    <row r="768">
      <c r="H768" s="11"/>
    </row>
    <row r="769">
      <c r="H769" s="11"/>
    </row>
    <row r="770">
      <c r="H770" s="11"/>
    </row>
    <row r="771">
      <c r="H771" s="11"/>
    </row>
    <row r="772">
      <c r="H772" s="11"/>
    </row>
    <row r="773">
      <c r="H773" s="11"/>
    </row>
    <row r="774">
      <c r="H774" s="11"/>
    </row>
    <row r="775">
      <c r="H775" s="11"/>
    </row>
    <row r="776">
      <c r="H776" s="11"/>
    </row>
    <row r="777">
      <c r="H777" s="11"/>
    </row>
    <row r="778">
      <c r="H778" s="11"/>
    </row>
    <row r="779">
      <c r="H779" s="11"/>
    </row>
    <row r="780">
      <c r="H780" s="11"/>
    </row>
    <row r="781">
      <c r="H781" s="11"/>
    </row>
    <row r="782">
      <c r="H782" s="11"/>
    </row>
    <row r="783">
      <c r="H783" s="11"/>
    </row>
    <row r="784">
      <c r="H784" s="11"/>
    </row>
    <row r="785">
      <c r="H785" s="11"/>
    </row>
    <row r="786">
      <c r="H786" s="11"/>
    </row>
    <row r="787">
      <c r="H787" s="11"/>
    </row>
    <row r="788">
      <c r="H788" s="11"/>
    </row>
    <row r="789">
      <c r="H789" s="11"/>
    </row>
    <row r="790">
      <c r="H790" s="11"/>
    </row>
    <row r="791">
      <c r="H791" s="11"/>
    </row>
    <row r="792">
      <c r="H792" s="11"/>
    </row>
    <row r="793">
      <c r="H793" s="11"/>
    </row>
    <row r="794">
      <c r="H794" s="11"/>
    </row>
    <row r="795">
      <c r="H795" s="11"/>
    </row>
    <row r="796">
      <c r="H796" s="11"/>
    </row>
    <row r="797">
      <c r="H797" s="11"/>
    </row>
    <row r="798">
      <c r="H798" s="11"/>
    </row>
    <row r="799">
      <c r="H799" s="11"/>
    </row>
    <row r="800">
      <c r="H800" s="11"/>
    </row>
    <row r="801">
      <c r="H801" s="11"/>
    </row>
    <row r="802">
      <c r="H802" s="11"/>
    </row>
    <row r="803">
      <c r="H803" s="11"/>
    </row>
    <row r="804">
      <c r="H804" s="11"/>
    </row>
    <row r="805">
      <c r="H805" s="11"/>
    </row>
    <row r="806">
      <c r="H806" s="11"/>
    </row>
    <row r="807">
      <c r="H807" s="11"/>
    </row>
    <row r="808">
      <c r="H808" s="11"/>
    </row>
    <row r="809">
      <c r="H809" s="11"/>
    </row>
    <row r="810">
      <c r="H810" s="11"/>
    </row>
    <row r="811">
      <c r="H811" s="11"/>
    </row>
    <row r="812">
      <c r="H812" s="11"/>
    </row>
    <row r="813">
      <c r="H813" s="11"/>
    </row>
    <row r="814">
      <c r="H814" s="11"/>
    </row>
    <row r="815">
      <c r="H815" s="11"/>
    </row>
    <row r="816">
      <c r="H816" s="11"/>
    </row>
    <row r="817">
      <c r="H817" s="11"/>
    </row>
    <row r="818">
      <c r="H818" s="11"/>
    </row>
    <row r="819">
      <c r="H819" s="11"/>
    </row>
    <row r="820">
      <c r="H820" s="11"/>
    </row>
    <row r="821">
      <c r="H821" s="11"/>
    </row>
    <row r="822">
      <c r="H822" s="11"/>
    </row>
    <row r="823">
      <c r="H823" s="11"/>
    </row>
    <row r="824">
      <c r="H824" s="11"/>
    </row>
    <row r="825">
      <c r="H825" s="11"/>
    </row>
    <row r="826">
      <c r="H826" s="11"/>
    </row>
    <row r="827">
      <c r="H827" s="11"/>
    </row>
    <row r="828">
      <c r="H828" s="11"/>
    </row>
    <row r="829">
      <c r="H829" s="11"/>
    </row>
    <row r="830">
      <c r="H830" s="11"/>
    </row>
    <row r="831">
      <c r="H831" s="11"/>
    </row>
    <row r="832">
      <c r="H832" s="11"/>
    </row>
    <row r="833">
      <c r="H833" s="11"/>
    </row>
    <row r="834">
      <c r="H834" s="11"/>
    </row>
    <row r="835">
      <c r="H835" s="11"/>
    </row>
    <row r="836">
      <c r="H836" s="11"/>
    </row>
    <row r="837">
      <c r="H837" s="11"/>
    </row>
    <row r="838">
      <c r="H838" s="11"/>
    </row>
    <row r="839">
      <c r="H839" s="11"/>
    </row>
    <row r="840">
      <c r="H840" s="11"/>
    </row>
    <row r="841">
      <c r="H841" s="11"/>
    </row>
    <row r="842">
      <c r="H842" s="11"/>
    </row>
    <row r="843">
      <c r="H843" s="11"/>
    </row>
    <row r="844">
      <c r="H844" s="11"/>
    </row>
    <row r="845">
      <c r="H845" s="11"/>
    </row>
    <row r="846">
      <c r="H846" s="11"/>
    </row>
    <row r="847">
      <c r="H847" s="11"/>
    </row>
    <row r="848">
      <c r="H848" s="11"/>
    </row>
    <row r="849">
      <c r="H849" s="11"/>
    </row>
    <row r="850">
      <c r="H850" s="11"/>
    </row>
    <row r="851">
      <c r="H851" s="11"/>
    </row>
    <row r="852">
      <c r="H852" s="11"/>
    </row>
    <row r="853">
      <c r="H853" s="11"/>
    </row>
    <row r="854">
      <c r="H854" s="11"/>
    </row>
    <row r="855">
      <c r="H855" s="11"/>
    </row>
    <row r="856">
      <c r="H856" s="11"/>
    </row>
    <row r="857">
      <c r="H857" s="11"/>
    </row>
    <row r="858">
      <c r="H858" s="11"/>
    </row>
    <row r="859">
      <c r="H859" s="11"/>
    </row>
    <row r="860">
      <c r="H860" s="11"/>
    </row>
    <row r="861">
      <c r="H861" s="11"/>
    </row>
    <row r="862">
      <c r="H862" s="11"/>
    </row>
    <row r="863">
      <c r="H863" s="11"/>
    </row>
    <row r="864">
      <c r="H864" s="11"/>
    </row>
    <row r="865">
      <c r="H865" s="11"/>
    </row>
    <row r="866">
      <c r="H866" s="11"/>
    </row>
    <row r="867">
      <c r="H867" s="11"/>
    </row>
    <row r="868">
      <c r="H868" s="11"/>
    </row>
    <row r="869">
      <c r="H869" s="11"/>
    </row>
    <row r="870">
      <c r="H870" s="11"/>
    </row>
    <row r="871">
      <c r="H871" s="11"/>
    </row>
    <row r="872">
      <c r="H872" s="11"/>
    </row>
    <row r="873">
      <c r="H873" s="11"/>
    </row>
    <row r="874">
      <c r="H874" s="11"/>
    </row>
    <row r="875">
      <c r="H875" s="11"/>
    </row>
    <row r="876">
      <c r="H876" s="11"/>
    </row>
    <row r="877">
      <c r="H877" s="11"/>
    </row>
    <row r="878">
      <c r="H878" s="11"/>
    </row>
    <row r="879">
      <c r="H879" s="11"/>
    </row>
    <row r="880">
      <c r="H880" s="11"/>
    </row>
    <row r="881">
      <c r="H881" s="11"/>
    </row>
    <row r="882">
      <c r="H882" s="11"/>
    </row>
    <row r="883">
      <c r="H883" s="11"/>
    </row>
    <row r="884">
      <c r="H884" s="11"/>
    </row>
    <row r="885">
      <c r="H885" s="11"/>
    </row>
    <row r="886">
      <c r="H886" s="11"/>
    </row>
    <row r="887">
      <c r="H887" s="11"/>
    </row>
    <row r="888">
      <c r="H888" s="11"/>
    </row>
    <row r="889">
      <c r="H889" s="11"/>
    </row>
    <row r="890">
      <c r="H890" s="11"/>
    </row>
    <row r="891">
      <c r="H891" s="11"/>
    </row>
    <row r="892">
      <c r="H892" s="11"/>
    </row>
    <row r="893">
      <c r="H893" s="11"/>
    </row>
    <row r="894">
      <c r="H894" s="11"/>
    </row>
    <row r="895">
      <c r="H895" s="11"/>
    </row>
    <row r="896">
      <c r="H896" s="11"/>
    </row>
    <row r="897">
      <c r="H897" s="11"/>
    </row>
    <row r="898">
      <c r="H898" s="11"/>
    </row>
    <row r="899">
      <c r="H899" s="11"/>
    </row>
    <row r="900">
      <c r="H900" s="11"/>
    </row>
    <row r="901">
      <c r="H901" s="11"/>
    </row>
    <row r="902">
      <c r="H902" s="11"/>
    </row>
    <row r="903">
      <c r="H903" s="11"/>
    </row>
    <row r="904">
      <c r="H904" s="11"/>
    </row>
    <row r="905">
      <c r="H905" s="11"/>
    </row>
    <row r="906">
      <c r="H906" s="11"/>
    </row>
    <row r="907">
      <c r="H907" s="11"/>
    </row>
    <row r="908">
      <c r="H908" s="11"/>
    </row>
    <row r="909">
      <c r="H909" s="11"/>
    </row>
    <row r="910">
      <c r="H910" s="11"/>
    </row>
    <row r="911">
      <c r="H911" s="11"/>
    </row>
    <row r="912">
      <c r="H912" s="11"/>
    </row>
    <row r="913">
      <c r="H913" s="11"/>
    </row>
    <row r="914">
      <c r="H914" s="11"/>
    </row>
    <row r="915">
      <c r="H915" s="11"/>
    </row>
    <row r="916">
      <c r="H916" s="11"/>
    </row>
    <row r="917">
      <c r="H917" s="11"/>
    </row>
    <row r="918">
      <c r="H918" s="11"/>
    </row>
    <row r="919">
      <c r="H919" s="11"/>
    </row>
    <row r="920">
      <c r="H920" s="11"/>
    </row>
    <row r="921">
      <c r="H921" s="11"/>
    </row>
    <row r="922">
      <c r="H922" s="11"/>
    </row>
    <row r="923">
      <c r="H923" s="11"/>
    </row>
    <row r="924">
      <c r="H924" s="11"/>
    </row>
    <row r="925">
      <c r="H925" s="11"/>
    </row>
    <row r="926">
      <c r="H926" s="11"/>
    </row>
    <row r="927">
      <c r="H927" s="11"/>
    </row>
    <row r="928">
      <c r="H928" s="11"/>
    </row>
    <row r="929">
      <c r="H929" s="11"/>
    </row>
    <row r="930">
      <c r="H930" s="11"/>
    </row>
    <row r="931">
      <c r="H931" s="11"/>
    </row>
    <row r="932">
      <c r="H932" s="11"/>
    </row>
    <row r="933">
      <c r="H933" s="11"/>
    </row>
    <row r="934">
      <c r="H934" s="11"/>
    </row>
    <row r="935">
      <c r="H935" s="11"/>
    </row>
    <row r="936">
      <c r="H936" s="11"/>
    </row>
    <row r="937">
      <c r="H937" s="11"/>
    </row>
    <row r="938">
      <c r="H938" s="11"/>
    </row>
    <row r="939">
      <c r="H939" s="11"/>
    </row>
    <row r="940">
      <c r="H940" s="11"/>
    </row>
    <row r="941">
      <c r="H941" s="11"/>
    </row>
    <row r="942">
      <c r="H942" s="11"/>
    </row>
    <row r="943">
      <c r="H943" s="11"/>
    </row>
    <row r="944">
      <c r="H944" s="11"/>
    </row>
    <row r="945">
      <c r="H945" s="11"/>
    </row>
    <row r="946">
      <c r="H946" s="11"/>
    </row>
    <row r="947">
      <c r="H947" s="11"/>
    </row>
    <row r="948">
      <c r="H948" s="11"/>
    </row>
    <row r="949">
      <c r="H949" s="11"/>
    </row>
    <row r="950">
      <c r="H950" s="11"/>
    </row>
    <row r="951">
      <c r="H951" s="11"/>
    </row>
    <row r="952">
      <c r="H952" s="11"/>
    </row>
    <row r="953">
      <c r="H953" s="11"/>
    </row>
    <row r="954">
      <c r="H954" s="11"/>
    </row>
    <row r="955">
      <c r="H955" s="11"/>
    </row>
    <row r="956">
      <c r="H956" s="11"/>
    </row>
    <row r="957">
      <c r="H957" s="11"/>
    </row>
    <row r="958">
      <c r="H958" s="11"/>
    </row>
    <row r="959">
      <c r="H959" s="11"/>
    </row>
    <row r="960">
      <c r="H960" s="11"/>
    </row>
    <row r="961">
      <c r="H961" s="11"/>
    </row>
    <row r="962">
      <c r="H962" s="11"/>
    </row>
    <row r="963">
      <c r="H963" s="11"/>
    </row>
    <row r="964">
      <c r="H964" s="11"/>
    </row>
    <row r="965">
      <c r="H965" s="11"/>
    </row>
    <row r="966">
      <c r="H966" s="11"/>
    </row>
    <row r="967">
      <c r="H967" s="11"/>
    </row>
    <row r="968">
      <c r="H968" s="11"/>
    </row>
    <row r="969">
      <c r="H969" s="11"/>
    </row>
    <row r="970">
      <c r="H970" s="11"/>
    </row>
    <row r="971">
      <c r="H971" s="11"/>
    </row>
    <row r="972">
      <c r="H972" s="11"/>
    </row>
    <row r="973">
      <c r="H973" s="11"/>
    </row>
    <row r="974">
      <c r="H974" s="11"/>
    </row>
    <row r="975">
      <c r="H975" s="11"/>
    </row>
    <row r="976">
      <c r="H976" s="11"/>
    </row>
    <row r="977">
      <c r="H977" s="11"/>
    </row>
    <row r="978">
      <c r="H978" s="11"/>
    </row>
    <row r="979">
      <c r="H979" s="11"/>
    </row>
    <row r="980">
      <c r="H980" s="11"/>
    </row>
    <row r="981">
      <c r="H981" s="11"/>
    </row>
    <row r="982">
      <c r="H982" s="11"/>
    </row>
    <row r="983">
      <c r="H983" s="11"/>
    </row>
    <row r="984">
      <c r="H984" s="11"/>
    </row>
    <row r="985">
      <c r="H985" s="11"/>
    </row>
    <row r="986">
      <c r="H986" s="11"/>
    </row>
    <row r="987">
      <c r="H987" s="11"/>
    </row>
    <row r="988">
      <c r="H988" s="11"/>
    </row>
    <row r="989">
      <c r="H989" s="11"/>
    </row>
    <row r="990">
      <c r="H990" s="11"/>
    </row>
    <row r="991">
      <c r="H991" s="11"/>
    </row>
    <row r="992">
      <c r="H992" s="11"/>
    </row>
    <row r="993">
      <c r="H993" s="11"/>
    </row>
    <row r="994">
      <c r="H994" s="11"/>
    </row>
    <row r="995">
      <c r="H995" s="11"/>
    </row>
    <row r="996">
      <c r="H996" s="11"/>
    </row>
    <row r="997">
      <c r="H997" s="11"/>
    </row>
    <row r="998">
      <c r="H998" s="11"/>
    </row>
    <row r="999">
      <c r="H999" s="11"/>
    </row>
    <row r="1000">
      <c r="H1000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3.63"/>
    <col customWidth="1" min="3" max="3" width="13.75"/>
    <col customWidth="1" min="4" max="4" width="10.13"/>
    <col customWidth="1" min="5" max="5" width="9.38"/>
    <col customWidth="1" min="6" max="6" width="18.38"/>
    <col customWidth="1" min="7" max="7" width="22.25"/>
    <col customWidth="1" min="8" max="8" width="14.75"/>
    <col customWidth="1" min="9" max="9" width="12.0"/>
    <col customWidth="1" min="10" max="10" width="10.75"/>
    <col customWidth="1" min="11" max="11" width="15.75"/>
  </cols>
  <sheetData>
    <row r="1">
      <c r="A1" s="12" t="s">
        <v>61</v>
      </c>
      <c r="B1" s="12" t="s">
        <v>62</v>
      </c>
      <c r="C1" s="12" t="s">
        <v>63</v>
      </c>
      <c r="D1" s="12" t="s">
        <v>64</v>
      </c>
      <c r="E1" s="12" t="s">
        <v>65</v>
      </c>
      <c r="F1" s="12" t="s">
        <v>66</v>
      </c>
      <c r="G1" s="12" t="s">
        <v>67</v>
      </c>
      <c r="H1" s="13" t="s">
        <v>68</v>
      </c>
      <c r="I1" s="13" t="s">
        <v>69</v>
      </c>
      <c r="J1" s="12" t="s">
        <v>70</v>
      </c>
      <c r="K1" s="12" t="s">
        <v>71</v>
      </c>
    </row>
    <row r="2">
      <c r="A2" s="14" t="s">
        <v>72</v>
      </c>
      <c r="B2" s="15" t="str">
        <f t="shared" ref="B2:B16" si="1">CONCATENATE(C2, " | ", E2)</f>
        <v>Broquel | Comum</v>
      </c>
      <c r="C2" s="14" t="s">
        <v>73</v>
      </c>
      <c r="D2" s="14" t="s">
        <v>13</v>
      </c>
      <c r="E2" s="14" t="s">
        <v>14</v>
      </c>
      <c r="F2" s="14">
        <v>0.0</v>
      </c>
      <c r="G2" s="14">
        <v>5.0</v>
      </c>
      <c r="H2" s="15">
        <f t="shared" ref="H2:H16" si="2">G2*10</f>
        <v>50</v>
      </c>
      <c r="I2" s="14">
        <v>3.0</v>
      </c>
      <c r="J2" s="14">
        <v>100.0</v>
      </c>
      <c r="K2" s="14" t="s">
        <v>74</v>
      </c>
    </row>
    <row r="3">
      <c r="A3" s="15" t="str">
        <f>IFERROR(__xludf.DUMMYFUNCTION("LEFT(A2, 7) &amp; TEXT(REGEXEXTRACT(A2, ""-(\d+)"") + 1, ""000"")"),"SHIELD-001")</f>
        <v>SHIELD-001</v>
      </c>
      <c r="B3" s="15" t="str">
        <f t="shared" si="1"/>
        <v>Broquel | Boa</v>
      </c>
      <c r="C3" s="14" t="s">
        <v>73</v>
      </c>
      <c r="D3" s="14" t="s">
        <v>13</v>
      </c>
      <c r="E3" s="14" t="s">
        <v>16</v>
      </c>
      <c r="F3" s="14">
        <v>0.0</v>
      </c>
      <c r="G3" s="14">
        <v>6.0</v>
      </c>
      <c r="H3" s="15">
        <f t="shared" si="2"/>
        <v>60</v>
      </c>
      <c r="I3" s="14">
        <v>2.8</v>
      </c>
      <c r="J3" s="14">
        <v>200.0</v>
      </c>
      <c r="K3" s="14" t="s">
        <v>74</v>
      </c>
    </row>
    <row r="4">
      <c r="A4" s="15" t="str">
        <f>IFERROR(__xludf.DUMMYFUNCTION("LEFT(A3, 7) &amp; TEXT(REGEXEXTRACT(A3, ""-(\d+)"") + 1, ""000"")"),"SHIELD-002")</f>
        <v>SHIELD-002</v>
      </c>
      <c r="B4" s="15" t="str">
        <f t="shared" si="1"/>
        <v>Broquel | Superior</v>
      </c>
      <c r="C4" s="14" t="s">
        <v>73</v>
      </c>
      <c r="D4" s="14" t="s">
        <v>13</v>
      </c>
      <c r="E4" s="14" t="s">
        <v>17</v>
      </c>
      <c r="F4" s="14">
        <v>1.0</v>
      </c>
      <c r="G4" s="14">
        <v>7.0</v>
      </c>
      <c r="H4" s="15">
        <f t="shared" si="2"/>
        <v>70</v>
      </c>
      <c r="I4" s="14">
        <v>2.6</v>
      </c>
      <c r="J4" s="14">
        <v>400.0</v>
      </c>
      <c r="K4" s="14" t="s">
        <v>74</v>
      </c>
    </row>
    <row r="5">
      <c r="A5" s="15" t="str">
        <f>IFERROR(__xludf.DUMMYFUNCTION("LEFT(A4, 7) &amp; TEXT(REGEXEXTRACT(A4, ""-(\d+)"") + 1, ""000"")"),"SHIELD-003")</f>
        <v>SHIELD-003</v>
      </c>
      <c r="B5" s="15" t="str">
        <f t="shared" si="1"/>
        <v>Broquel | Excelente</v>
      </c>
      <c r="C5" s="14" t="s">
        <v>73</v>
      </c>
      <c r="D5" s="14" t="s">
        <v>13</v>
      </c>
      <c r="E5" s="14" t="s">
        <v>18</v>
      </c>
      <c r="F5" s="14">
        <v>1.0</v>
      </c>
      <c r="G5" s="14">
        <v>8.0</v>
      </c>
      <c r="H5" s="15">
        <f t="shared" si="2"/>
        <v>80</v>
      </c>
      <c r="I5" s="14">
        <v>2.4</v>
      </c>
      <c r="J5" s="14">
        <v>800.0</v>
      </c>
      <c r="K5" s="14" t="s">
        <v>74</v>
      </c>
    </row>
    <row r="6">
      <c r="A6" s="15" t="str">
        <f>IFERROR(__xludf.DUMMYFUNCTION("LEFT(A5, 7) &amp; TEXT(REGEXEXTRACT(A5, ""-(\d+)"") + 1, ""000"")"),"SHIELD-004")</f>
        <v>SHIELD-004</v>
      </c>
      <c r="B6" s="15" t="str">
        <f t="shared" si="1"/>
        <v>Broquel | Obra-Prima</v>
      </c>
      <c r="C6" s="14" t="s">
        <v>73</v>
      </c>
      <c r="D6" s="14" t="s">
        <v>13</v>
      </c>
      <c r="E6" s="14" t="s">
        <v>19</v>
      </c>
      <c r="F6" s="14">
        <v>2.0</v>
      </c>
      <c r="G6" s="14">
        <v>9.0</v>
      </c>
      <c r="H6" s="15">
        <f t="shared" si="2"/>
        <v>90</v>
      </c>
      <c r="I6" s="14">
        <v>2.4</v>
      </c>
      <c r="J6" s="14">
        <v>1600.0</v>
      </c>
      <c r="K6" s="14" t="s">
        <v>74</v>
      </c>
    </row>
    <row r="7">
      <c r="A7" s="15" t="str">
        <f>IFERROR(__xludf.DUMMYFUNCTION("LEFT(A6, 7) &amp; TEXT(REGEXEXTRACT(A6, ""-(\d+)"") + 1, ""000"")"),"SHIELD-005")</f>
        <v>SHIELD-005</v>
      </c>
      <c r="B7" s="15" t="str">
        <f t="shared" si="1"/>
        <v>Escudo | Comum</v>
      </c>
      <c r="C7" s="14" t="s">
        <v>75</v>
      </c>
      <c r="D7" s="14" t="s">
        <v>76</v>
      </c>
      <c r="E7" s="14" t="s">
        <v>14</v>
      </c>
      <c r="F7" s="14">
        <v>2.0</v>
      </c>
      <c r="G7" s="14">
        <v>7.0</v>
      </c>
      <c r="H7" s="15">
        <f t="shared" si="2"/>
        <v>70</v>
      </c>
      <c r="I7" s="14">
        <v>7.0</v>
      </c>
      <c r="J7" s="14">
        <v>200.0</v>
      </c>
      <c r="K7" s="14" t="s">
        <v>77</v>
      </c>
    </row>
    <row r="8">
      <c r="A8" s="15" t="str">
        <f>IFERROR(__xludf.DUMMYFUNCTION("LEFT(A7, 7) &amp; TEXT(REGEXEXTRACT(A7, ""-(\d+)"") + 1, ""000"")"),"SHIELD-006")</f>
        <v>SHIELD-006</v>
      </c>
      <c r="B8" s="15" t="str">
        <f t="shared" si="1"/>
        <v>Escudo | Boa</v>
      </c>
      <c r="C8" s="14" t="s">
        <v>75</v>
      </c>
      <c r="D8" s="14" t="s">
        <v>76</v>
      </c>
      <c r="E8" s="14" t="s">
        <v>16</v>
      </c>
      <c r="F8" s="14">
        <v>2.0</v>
      </c>
      <c r="G8" s="14">
        <v>8.0</v>
      </c>
      <c r="H8" s="15">
        <f t="shared" si="2"/>
        <v>80</v>
      </c>
      <c r="I8" s="14">
        <v>6.8</v>
      </c>
      <c r="J8" s="14">
        <v>400.0</v>
      </c>
      <c r="K8" s="14" t="s">
        <v>77</v>
      </c>
    </row>
    <row r="9">
      <c r="A9" s="15" t="str">
        <f>IFERROR(__xludf.DUMMYFUNCTION("LEFT(A8, 7) &amp; TEXT(REGEXEXTRACT(A8, ""-(\d+)"") + 1, ""000"")"),"SHIELD-007")</f>
        <v>SHIELD-007</v>
      </c>
      <c r="B9" s="15" t="str">
        <f t="shared" si="1"/>
        <v>Escudo | Superior</v>
      </c>
      <c r="C9" s="14" t="s">
        <v>75</v>
      </c>
      <c r="D9" s="14" t="s">
        <v>76</v>
      </c>
      <c r="E9" s="14" t="s">
        <v>17</v>
      </c>
      <c r="F9" s="14">
        <v>3.0</v>
      </c>
      <c r="G9" s="14">
        <v>9.0</v>
      </c>
      <c r="H9" s="15">
        <f t="shared" si="2"/>
        <v>90</v>
      </c>
      <c r="I9" s="14">
        <v>6.6</v>
      </c>
      <c r="J9" s="14">
        <v>800.0</v>
      </c>
      <c r="K9" s="14" t="s">
        <v>77</v>
      </c>
    </row>
    <row r="10">
      <c r="A10" s="15" t="str">
        <f>IFERROR(__xludf.DUMMYFUNCTION("LEFT(A9, 7) &amp; TEXT(REGEXEXTRACT(A9, ""-(\d+)"") + 1, ""000"")"),"SHIELD-008")</f>
        <v>SHIELD-008</v>
      </c>
      <c r="B10" s="15" t="str">
        <f t="shared" si="1"/>
        <v>Escudo | Excelente</v>
      </c>
      <c r="C10" s="14" t="s">
        <v>75</v>
      </c>
      <c r="D10" s="14" t="s">
        <v>76</v>
      </c>
      <c r="E10" s="14" t="s">
        <v>18</v>
      </c>
      <c r="F10" s="14">
        <v>3.0</v>
      </c>
      <c r="G10" s="14">
        <v>10.0</v>
      </c>
      <c r="H10" s="15">
        <f t="shared" si="2"/>
        <v>100</v>
      </c>
      <c r="I10" s="14">
        <v>6.4</v>
      </c>
      <c r="J10" s="14">
        <v>1600.0</v>
      </c>
      <c r="K10" s="14" t="s">
        <v>77</v>
      </c>
    </row>
    <row r="11">
      <c r="A11" s="15" t="str">
        <f>IFERROR(__xludf.DUMMYFUNCTION("LEFT(A10, 7) &amp; TEXT(REGEXEXTRACT(A10, ""-(\d+)"") + 1, ""000"")"),"SHIELD-009")</f>
        <v>SHIELD-009</v>
      </c>
      <c r="B11" s="15" t="str">
        <f t="shared" si="1"/>
        <v>Escudo | Obra-Prima</v>
      </c>
      <c r="C11" s="14" t="s">
        <v>75</v>
      </c>
      <c r="D11" s="14" t="s">
        <v>76</v>
      </c>
      <c r="E11" s="14" t="s">
        <v>19</v>
      </c>
      <c r="F11" s="14">
        <v>4.0</v>
      </c>
      <c r="G11" s="14">
        <v>11.0</v>
      </c>
      <c r="H11" s="15">
        <f t="shared" si="2"/>
        <v>110</v>
      </c>
      <c r="I11" s="14">
        <v>6.2</v>
      </c>
      <c r="J11" s="14">
        <v>3200.0</v>
      </c>
      <c r="K11" s="14" t="s">
        <v>77</v>
      </c>
    </row>
    <row r="12">
      <c r="A12" s="15" t="str">
        <f>IFERROR(__xludf.DUMMYFUNCTION("LEFT(A11, 7) &amp; TEXT(REGEXEXTRACT(A11, ""-(\d+)"") + 1, ""000"")"),"SHIELD-010")</f>
        <v>SHIELD-010</v>
      </c>
      <c r="B12" s="15" t="str">
        <f t="shared" si="1"/>
        <v>Escudo Torre | Comum</v>
      </c>
      <c r="C12" s="14" t="s">
        <v>78</v>
      </c>
      <c r="D12" s="14" t="s">
        <v>79</v>
      </c>
      <c r="E12" s="14" t="s">
        <v>14</v>
      </c>
      <c r="F12" s="14">
        <v>4.0</v>
      </c>
      <c r="G12" s="14">
        <v>9.0</v>
      </c>
      <c r="H12" s="15">
        <f t="shared" si="2"/>
        <v>90</v>
      </c>
      <c r="I12" s="14">
        <v>12.0</v>
      </c>
      <c r="J12" s="14">
        <v>800.0</v>
      </c>
      <c r="K12" s="14" t="s">
        <v>80</v>
      </c>
    </row>
    <row r="13">
      <c r="A13" s="15" t="str">
        <f>IFERROR(__xludf.DUMMYFUNCTION("LEFT(A12, 7) &amp; TEXT(REGEXEXTRACT(A12, ""-(\d+)"") + 1, ""000"")"),"SHIELD-011")</f>
        <v>SHIELD-011</v>
      </c>
      <c r="B13" s="15" t="str">
        <f t="shared" si="1"/>
        <v>Escudo Torre | Boa</v>
      </c>
      <c r="C13" s="14" t="s">
        <v>78</v>
      </c>
      <c r="D13" s="14" t="s">
        <v>79</v>
      </c>
      <c r="E13" s="14" t="s">
        <v>16</v>
      </c>
      <c r="F13" s="14">
        <v>4.0</v>
      </c>
      <c r="G13" s="14">
        <v>10.0</v>
      </c>
      <c r="H13" s="15">
        <f t="shared" si="2"/>
        <v>100</v>
      </c>
      <c r="I13" s="14">
        <v>11.8</v>
      </c>
      <c r="J13" s="14">
        <v>1600.0</v>
      </c>
      <c r="K13" s="14" t="s">
        <v>80</v>
      </c>
    </row>
    <row r="14">
      <c r="A14" s="15" t="str">
        <f>IFERROR(__xludf.DUMMYFUNCTION("LEFT(A13, 7) &amp; TEXT(REGEXEXTRACT(A13, ""-(\d+)"") + 1, ""000"")"),"SHIELD-012")</f>
        <v>SHIELD-012</v>
      </c>
      <c r="B14" s="15" t="str">
        <f t="shared" si="1"/>
        <v>Escudo Torre | Superior</v>
      </c>
      <c r="C14" s="14" t="s">
        <v>78</v>
      </c>
      <c r="D14" s="14" t="s">
        <v>79</v>
      </c>
      <c r="E14" s="14" t="s">
        <v>17</v>
      </c>
      <c r="F14" s="14">
        <v>5.0</v>
      </c>
      <c r="G14" s="14">
        <v>11.0</v>
      </c>
      <c r="H14" s="15">
        <f t="shared" si="2"/>
        <v>110</v>
      </c>
      <c r="I14" s="14">
        <v>11.6</v>
      </c>
      <c r="J14" s="14">
        <v>3200.0</v>
      </c>
      <c r="K14" s="14" t="s">
        <v>80</v>
      </c>
    </row>
    <row r="15">
      <c r="A15" s="15" t="str">
        <f>IFERROR(__xludf.DUMMYFUNCTION("LEFT(A14, 7) &amp; TEXT(REGEXEXTRACT(A14, ""-(\d+)"") + 1, ""000"")"),"SHIELD-013")</f>
        <v>SHIELD-013</v>
      </c>
      <c r="B15" s="15" t="str">
        <f t="shared" si="1"/>
        <v>Escudo Torre | Excelente</v>
      </c>
      <c r="C15" s="14" t="s">
        <v>78</v>
      </c>
      <c r="D15" s="14" t="s">
        <v>79</v>
      </c>
      <c r="E15" s="14" t="s">
        <v>18</v>
      </c>
      <c r="F15" s="14">
        <v>5.0</v>
      </c>
      <c r="G15" s="14">
        <v>12.0</v>
      </c>
      <c r="H15" s="15">
        <f t="shared" si="2"/>
        <v>120</v>
      </c>
      <c r="I15" s="14">
        <v>11.4</v>
      </c>
      <c r="J15" s="14">
        <v>6400.0</v>
      </c>
      <c r="K15" s="14" t="s">
        <v>80</v>
      </c>
    </row>
    <row r="16">
      <c r="A16" s="15" t="str">
        <f>IFERROR(__xludf.DUMMYFUNCTION("LEFT(A15, 7) &amp; TEXT(REGEXEXTRACT(A15, ""-(\d+)"") + 1, ""000"")"),"SHIELD-014")</f>
        <v>SHIELD-014</v>
      </c>
      <c r="B16" s="15" t="str">
        <f t="shared" si="1"/>
        <v>Escudo Torre | Obra-Prima</v>
      </c>
      <c r="C16" s="14" t="s">
        <v>78</v>
      </c>
      <c r="D16" s="14" t="s">
        <v>79</v>
      </c>
      <c r="E16" s="14" t="s">
        <v>19</v>
      </c>
      <c r="F16" s="14">
        <v>6.0</v>
      </c>
      <c r="G16" s="14">
        <v>13.0</v>
      </c>
      <c r="H16" s="15">
        <f t="shared" si="2"/>
        <v>130</v>
      </c>
      <c r="I16" s="14">
        <v>11.2</v>
      </c>
      <c r="J16" s="14">
        <v>12800.0</v>
      </c>
      <c r="K16" s="14" t="s">
        <v>80</v>
      </c>
    </row>
  </sheetData>
  <drawing r:id="rId1"/>
</worksheet>
</file>