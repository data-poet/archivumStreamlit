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adventure_gear" sheetId="1" r:id="rId5"/>
  </sheets>
  <definedNames/>
  <calcPr/>
</workbook>
</file>

<file path=xl/sharedStrings.xml><?xml version="1.0" encoding="utf-8"?>
<sst xmlns="http://schemas.openxmlformats.org/spreadsheetml/2006/main" count="114" uniqueCount="79">
  <si>
    <t>adventure_gear_id</t>
  </si>
  <si>
    <t>adventure_gear_name</t>
  </si>
  <si>
    <t>adventure_gear_type</t>
  </si>
  <si>
    <t>adventure_gear_price</t>
  </si>
  <si>
    <t>adventure_gear_weight</t>
  </si>
  <si>
    <t>adventure_gear_observation</t>
  </si>
  <si>
    <t>GEAR-000</t>
  </si>
  <si>
    <t>Ração</t>
  </si>
  <si>
    <t>Alimentos</t>
  </si>
  <si>
    <t xml:space="preserve">
- Uma refeição com carne seca e queijo.</t>
  </si>
  <si>
    <t>Refeição Simples</t>
  </si>
  <si>
    <t xml:space="preserve">
- Refeições simples encontradas numa taverna.</t>
  </si>
  <si>
    <t>Água (1L)</t>
  </si>
  <si>
    <t>Vinho (1L)</t>
  </si>
  <si>
    <t>Aguardente (1L)</t>
  </si>
  <si>
    <t>Kit Simples</t>
  </si>
  <si>
    <t>Médico</t>
  </si>
  <si>
    <t xml:space="preserve">
- Bônus de +1 na perícia PRIMEIROS SOCORROS.</t>
  </si>
  <si>
    <t>Kit Sobrevivência</t>
  </si>
  <si>
    <t xml:space="preserve">
- Bônus de +2 na perícia PRIMEIROS SOCORROS.</t>
  </si>
  <si>
    <t>Maleta de Cirurgião</t>
  </si>
  <si>
    <t xml:space="preserve">
- Bônus de +3 na perícia PRIMEIROS SOCORROS.
- Redutor de -3 na perícia CIRURGIA na ausência deste.</t>
  </si>
  <si>
    <t>Básico Pessoal</t>
  </si>
  <si>
    <t>Exploração</t>
  </si>
  <si>
    <t xml:space="preserve">
- Aquelas coisas que ninguém, a não ser um idiota, deixaria em casa (colher, garfo, xícara, perdeneira, toalha e etc).
- Redutor de -2 em qualquer teste de Sobrevivência se estiver sem eles.</t>
  </si>
  <si>
    <t>Pedra de Amolar</t>
  </si>
  <si>
    <t xml:space="preserve">
- Um armeiro pode achar uma depois de 1 hora de procura e um teste de habilidade.</t>
  </si>
  <si>
    <t>Tocha</t>
  </si>
  <si>
    <t xml:space="preserve">
- Queimará durante 1h.</t>
  </si>
  <si>
    <t>Lampião</t>
  </si>
  <si>
    <t>Combustível para Lampião</t>
  </si>
  <si>
    <t xml:space="preserve">
- 0.5L dura 24 h.</t>
  </si>
  <si>
    <t>Barraca (1 Pessoa)</t>
  </si>
  <si>
    <t>Acampamento</t>
  </si>
  <si>
    <t xml:space="preserve">
- Inclui cordas, não precisa estacas.</t>
  </si>
  <si>
    <t>Barraca (2 Pessoas)</t>
  </si>
  <si>
    <t xml:space="preserve">
- Inclui cordas, é necessário levar ou improvisar um mastro de 2 m.</t>
  </si>
  <si>
    <t>Barraca (4 Pessoas)</t>
  </si>
  <si>
    <t xml:space="preserve">
- Inclui cordas, é necessário levar ou improvisar 2 mastros de 2 m.</t>
  </si>
  <si>
    <t>Barraca (8 Pessoas)</t>
  </si>
  <si>
    <t xml:space="preserve">
- Inclui cordas, é necessário levar ou improvisar 4 mastros de 2 m.</t>
  </si>
  <si>
    <t>Barraca (20 Pessoas)</t>
  </si>
  <si>
    <t xml:space="preserve">
- Inclui cordas, é necessário levar ou improvisar 10 mastros de 2 m.</t>
  </si>
  <si>
    <t>Vara (2m)</t>
  </si>
  <si>
    <t xml:space="preserve">
- Para armar barracas ou cutucar coisas duvidosas.</t>
  </si>
  <si>
    <t>Manta (Lâ Grossa)</t>
  </si>
  <si>
    <t>Saco de Dormir</t>
  </si>
  <si>
    <t>- Para clima muito frio.</t>
  </si>
  <si>
    <t>Rede de Pesca</t>
  </si>
  <si>
    <t>Moringa Pequena (1L)</t>
  </si>
  <si>
    <t>Moringa Grande (5L)</t>
  </si>
  <si>
    <t>Odre Pequeno (5L)</t>
  </si>
  <si>
    <t>Odre Grande (25L)</t>
  </si>
  <si>
    <t>Sacola Pequena (Até 1,5 kg)</t>
  </si>
  <si>
    <t>Carga</t>
  </si>
  <si>
    <t>Sacola Grande (Até 5 kg)</t>
  </si>
  <si>
    <t>Mochila Pequena (Até 20kg)</t>
  </si>
  <si>
    <t>Mochila Grande (Até 20kg)</t>
  </si>
  <si>
    <t>Cordão 3/16 pol (10m)</t>
  </si>
  <si>
    <t>Escalada</t>
  </si>
  <si>
    <t xml:space="preserve">
- Suporta até 40kg.</t>
  </si>
  <si>
    <t>Corda 3/8 pol (10m)</t>
  </si>
  <si>
    <t xml:space="preserve">
- Suporta até 135kg.</t>
  </si>
  <si>
    <t>Corda 3/4 pol (10m)</t>
  </si>
  <si>
    <t xml:space="preserve">
- Suporta até 450kg.</t>
  </si>
  <si>
    <t>Cabo 1,5 pol (10m)</t>
  </si>
  <si>
    <t xml:space="preserve">
- Suporta até 1700kg.</t>
  </si>
  <si>
    <t>Espeto de Ferro ("Piton")</t>
  </si>
  <si>
    <t>Arpéu</t>
  </si>
  <si>
    <t xml:space="preserve">
- Suporta até 150kg.</t>
  </si>
  <si>
    <t>Gazuas (Qualidade Comum)</t>
  </si>
  <si>
    <t>Infiltração</t>
  </si>
  <si>
    <t>Gazuas (Boa Qualidade)</t>
  </si>
  <si>
    <t>Picareta</t>
  </si>
  <si>
    <t>Ferramenta</t>
  </si>
  <si>
    <t>Pá</t>
  </si>
  <si>
    <t>Pé-de-Cabra</t>
  </si>
  <si>
    <t>Martelo</t>
  </si>
  <si>
    <t>Machadinha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</si>
</sst>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sz val="7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9.25"/>
    <col customWidth="1" min="3" max="3" width="14.13"/>
    <col customWidth="1" min="4" max="4" width="15.0"/>
    <col customWidth="1" min="5" max="5" width="14.0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3" t="s">
        <v>7</v>
      </c>
      <c r="C2" s="3" t="s">
        <v>8</v>
      </c>
      <c r="D2" s="3">
        <v>2.0</v>
      </c>
      <c r="E2" s="3">
        <v>0.3</v>
      </c>
      <c r="F2" s="3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tr">
        <f>IFERROR(__xludf.DUMMYFUNCTION("LEFT(A2, 5) &amp; TEXT(VALUE(REGEXEXTRACT(A2, ""\d+"")) + 1, ""000"")"),"GEAR-001")</f>
        <v>GEAR-001</v>
      </c>
      <c r="B3" s="3" t="s">
        <v>10</v>
      </c>
      <c r="C3" s="3" t="s">
        <v>8</v>
      </c>
      <c r="D3" s="3">
        <v>4.0</v>
      </c>
      <c r="E3" s="3">
        <v>0.6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tr">
        <f>IFERROR(__xludf.DUMMYFUNCTION("LEFT(A3, 5) &amp; TEXT(VALUE(REGEXEXTRACT(A3, ""\d+"")) + 1, ""000"")"),"GEAR-002")</f>
        <v>GEAR-002</v>
      </c>
      <c r="B4" s="3" t="s">
        <v>12</v>
      </c>
      <c r="C4" s="3" t="s">
        <v>8</v>
      </c>
      <c r="D4" s="3">
        <v>0.0</v>
      </c>
      <c r="E4" s="3">
        <v>1.0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tr">
        <f>IFERROR(__xludf.DUMMYFUNCTION("LEFT(A4, 5) &amp; TEXT(VALUE(REGEXEXTRACT(A4, ""\d+"")) + 1, ""000"")"),"GEAR-003")</f>
        <v>GEAR-003</v>
      </c>
      <c r="B5" s="3" t="s">
        <v>13</v>
      </c>
      <c r="C5" s="3" t="s">
        <v>8</v>
      </c>
      <c r="D5" s="3">
        <v>2.0</v>
      </c>
      <c r="E5" s="3">
        <v>1.0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tr">
        <f>IFERROR(__xludf.DUMMYFUNCTION("LEFT(A5, 5) &amp; TEXT(VALUE(REGEXEXTRACT(A5, ""\d+"")) + 1, ""000"")"),"GEAR-004")</f>
        <v>GEAR-004</v>
      </c>
      <c r="B6" s="3" t="s">
        <v>14</v>
      </c>
      <c r="C6" s="3" t="s">
        <v>8</v>
      </c>
      <c r="D6" s="3">
        <v>1.5</v>
      </c>
      <c r="E6" s="3">
        <v>1.0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tr">
        <f>IFERROR(__xludf.DUMMYFUNCTION("LEFT(A6, 5) &amp; TEXT(VALUE(REGEXEXTRACT(A6, ""\d+"")) + 1, ""000"")"),"GEAR-005")</f>
        <v>GEAR-005</v>
      </c>
      <c r="B7" s="3" t="s">
        <v>15</v>
      </c>
      <c r="C7" s="3" t="s">
        <v>16</v>
      </c>
      <c r="D7" s="3">
        <v>100.0</v>
      </c>
      <c r="E7" s="3">
        <v>1.0</v>
      </c>
      <c r="F7" s="3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tr">
        <f>IFERROR(__xludf.DUMMYFUNCTION("LEFT(A7, 5) &amp; TEXT(VALUE(REGEXEXTRACT(A7, ""\d+"")) + 1, ""000"")"),"GEAR-006")</f>
        <v>GEAR-006</v>
      </c>
      <c r="B8" s="3" t="s">
        <v>18</v>
      </c>
      <c r="C8" s="3" t="s">
        <v>16</v>
      </c>
      <c r="D8" s="3">
        <v>300.0</v>
      </c>
      <c r="E8" s="3">
        <v>5.0</v>
      </c>
      <c r="F8" s="3" t="s">
        <v>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tr">
        <f>IFERROR(__xludf.DUMMYFUNCTION("LEFT(A8, 5) &amp; TEXT(VALUE(REGEXEXTRACT(A8, ""\d+"")) + 1, ""000"")"),"GEAR-007")</f>
        <v>GEAR-007</v>
      </c>
      <c r="B9" s="3" t="s">
        <v>20</v>
      </c>
      <c r="C9" s="3" t="s">
        <v>16</v>
      </c>
      <c r="D9" s="3">
        <v>500.0</v>
      </c>
      <c r="E9" s="3">
        <v>7.5</v>
      </c>
      <c r="F9" s="3" t="s">
        <v>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tr">
        <f>IFERROR(__xludf.DUMMYFUNCTION("LEFT(A9, 5) &amp; TEXT(VALUE(REGEXEXTRACT(A9, ""\d+"")) + 1, ""000"")"),"GEAR-008")</f>
        <v>GEAR-008</v>
      </c>
      <c r="B10" s="3" t="s">
        <v>22</v>
      </c>
      <c r="C10" s="3" t="s">
        <v>23</v>
      </c>
      <c r="D10" s="3">
        <v>10.0</v>
      </c>
      <c r="E10" s="3">
        <v>1.0</v>
      </c>
      <c r="F10" s="3" t="s">
        <v>24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tr">
        <f>IFERROR(__xludf.DUMMYFUNCTION("LEFT(A10, 5) &amp; TEXT(VALUE(REGEXEXTRACT(A10, ""\d+"")) + 1, ""000"")"),"GEAR-009")</f>
        <v>GEAR-009</v>
      </c>
      <c r="B11" s="3" t="s">
        <v>25</v>
      </c>
      <c r="C11" s="3" t="s">
        <v>23</v>
      </c>
      <c r="D11" s="3">
        <v>5.0</v>
      </c>
      <c r="E11" s="3">
        <v>0.5</v>
      </c>
      <c r="F11" s="3" t="s">
        <v>26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tr">
        <f>IFERROR(__xludf.DUMMYFUNCTION("LEFT(A11, 5) &amp; TEXT(VALUE(REGEXEXTRACT(A11, ""\d+"")) + 1, ""000"")"),"GEAR-010")</f>
        <v>GEAR-010</v>
      </c>
      <c r="B12" s="3" t="s">
        <v>27</v>
      </c>
      <c r="C12" s="3" t="s">
        <v>23</v>
      </c>
      <c r="D12" s="3">
        <v>3.0</v>
      </c>
      <c r="E12" s="3">
        <v>0.5</v>
      </c>
      <c r="F12" s="3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tr">
        <f>IFERROR(__xludf.DUMMYFUNCTION("LEFT(A12, 5) &amp; TEXT(VALUE(REGEXEXTRACT(A12, ""\d+"")) + 1, ""000"")"),"GEAR-011")</f>
        <v>GEAR-011</v>
      </c>
      <c r="B13" s="3" t="s">
        <v>29</v>
      </c>
      <c r="C13" s="3" t="s">
        <v>23</v>
      </c>
      <c r="D13" s="3">
        <v>50.0</v>
      </c>
      <c r="E13" s="3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tr">
        <f>IFERROR(__xludf.DUMMYFUNCTION("LEFT(A13, 5) &amp; TEXT(VALUE(REGEXEXTRACT(A13, ""\d+"")) + 1, ""000"")"),"GEAR-012")</f>
        <v>GEAR-012</v>
      </c>
      <c r="B14" s="3" t="s">
        <v>30</v>
      </c>
      <c r="C14" s="3" t="s">
        <v>23</v>
      </c>
      <c r="D14" s="3">
        <v>5.0</v>
      </c>
      <c r="E14" s="3">
        <v>0.5</v>
      </c>
      <c r="F14" s="3" t="s">
        <v>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tr">
        <f>IFERROR(__xludf.DUMMYFUNCTION("LEFT(A14, 5) &amp; TEXT(VALUE(REGEXEXTRACT(A14, ""\d+"")) + 1, ""000"")"),"GEAR-013")</f>
        <v>GEAR-013</v>
      </c>
      <c r="B15" s="3" t="s">
        <v>32</v>
      </c>
      <c r="C15" s="3" t="s">
        <v>33</v>
      </c>
      <c r="D15" s="3">
        <v>50.0</v>
      </c>
      <c r="E15" s="3">
        <v>2.5</v>
      </c>
      <c r="F15" s="3" t="s">
        <v>34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tr">
        <f>IFERROR(__xludf.DUMMYFUNCTION("LEFT(A15, 5) &amp; TEXT(VALUE(REGEXEXTRACT(A15, ""\d+"")) + 1, ""000"")"),"GEAR-014")</f>
        <v>GEAR-014</v>
      </c>
      <c r="B16" s="3" t="s">
        <v>35</v>
      </c>
      <c r="C16" s="3" t="s">
        <v>33</v>
      </c>
      <c r="D16" s="3">
        <v>80.0</v>
      </c>
      <c r="E16" s="3">
        <v>6.0</v>
      </c>
      <c r="F16" s="3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tr">
        <f>IFERROR(__xludf.DUMMYFUNCTION("LEFT(A16, 5) &amp; TEXT(VALUE(REGEXEXTRACT(A16, ""\d+"")) + 1, ""000"")"),"GEAR-015")</f>
        <v>GEAR-015</v>
      </c>
      <c r="B17" s="3" t="s">
        <v>37</v>
      </c>
      <c r="C17" s="3" t="s">
        <v>33</v>
      </c>
      <c r="D17" s="3">
        <v>150.0</v>
      </c>
      <c r="E17" s="3">
        <v>14.0</v>
      </c>
      <c r="F17" s="3" t="s">
        <v>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tr">
        <f>IFERROR(__xludf.DUMMYFUNCTION("LEFT(A17, 5) &amp; TEXT(VALUE(REGEXEXTRACT(A17, ""\d+"")) + 1, ""000"")"),"GEAR-016")</f>
        <v>GEAR-016</v>
      </c>
      <c r="B18" s="3" t="s">
        <v>39</v>
      </c>
      <c r="C18" s="3" t="s">
        <v>33</v>
      </c>
      <c r="D18" s="3">
        <v>180.0</v>
      </c>
      <c r="E18" s="3">
        <v>27.0</v>
      </c>
      <c r="F18" s="3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tr">
        <f>IFERROR(__xludf.DUMMYFUNCTION("LEFT(A18, 5) &amp; TEXT(VALUE(REGEXEXTRACT(A18, ""\d+"")) + 1, ""000"")"),"GEAR-017")</f>
        <v>GEAR-017</v>
      </c>
      <c r="B19" s="3" t="s">
        <v>41</v>
      </c>
      <c r="C19" s="3" t="s">
        <v>33</v>
      </c>
      <c r="D19" s="3">
        <v>300.0</v>
      </c>
      <c r="E19" s="3">
        <v>45.0</v>
      </c>
      <c r="F19" s="3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tr">
        <f>IFERROR(__xludf.DUMMYFUNCTION("LEFT(A19, 5) &amp; TEXT(VALUE(REGEXEXTRACT(A19, ""\d+"")) + 1, ""000"")"),"GEAR-018")</f>
        <v>GEAR-018</v>
      </c>
      <c r="B20" s="3" t="s">
        <v>43</v>
      </c>
      <c r="C20" s="3" t="s">
        <v>33</v>
      </c>
      <c r="D20" s="3">
        <v>10.0</v>
      </c>
      <c r="E20" s="3">
        <v>1.5</v>
      </c>
      <c r="F20" s="3" t="s">
        <v>44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tr">
        <f>IFERROR(__xludf.DUMMYFUNCTION("LEFT(A20, 5) &amp; TEXT(VALUE(REGEXEXTRACT(A20, ""\d+"")) + 1, ""000"")"),"GEAR-019")</f>
        <v>GEAR-019</v>
      </c>
      <c r="B21" s="3" t="s">
        <v>45</v>
      </c>
      <c r="C21" s="3" t="s">
        <v>33</v>
      </c>
      <c r="D21" s="3">
        <v>20.0</v>
      </c>
      <c r="E21" s="3">
        <v>2.5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tr">
        <f>IFERROR(__xludf.DUMMYFUNCTION("LEFT(A21, 5) &amp; TEXT(VALUE(REGEXEXTRACT(A21, ""\d+"")) + 1, ""000"")"),"GEAR-020")</f>
        <v>GEAR-020</v>
      </c>
      <c r="B22" s="3" t="s">
        <v>46</v>
      </c>
      <c r="C22" s="3" t="s">
        <v>33</v>
      </c>
      <c r="D22" s="3">
        <v>100.0</v>
      </c>
      <c r="E22" s="3">
        <v>7.0</v>
      </c>
      <c r="F22" s="3" t="s">
        <v>47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tr">
        <f>IFERROR(__xludf.DUMMYFUNCTION("LEFT(A22, 5) &amp; TEXT(VALUE(REGEXEXTRACT(A22, ""\d+"")) + 1, ""000"")"),"GEAR-021")</f>
        <v>GEAR-021</v>
      </c>
      <c r="B23" s="3" t="s">
        <v>48</v>
      </c>
      <c r="C23" s="3" t="s">
        <v>33</v>
      </c>
      <c r="D23" s="3">
        <v>30.0</v>
      </c>
      <c r="E23" s="3">
        <v>5.0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tr">
        <f>IFERROR(__xludf.DUMMYFUNCTION("LEFT(A23, 5) &amp; TEXT(VALUE(REGEXEXTRACT(A23, ""\d+"")) + 1, ""000"")"),"GEAR-022")</f>
        <v>GEAR-022</v>
      </c>
      <c r="B24" s="3" t="s">
        <v>49</v>
      </c>
      <c r="C24" s="3" t="s">
        <v>33</v>
      </c>
      <c r="D24" s="3">
        <v>3.0</v>
      </c>
      <c r="E24" s="3">
        <v>1.0</v>
      </c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tr">
        <f>IFERROR(__xludf.DUMMYFUNCTION("LEFT(A24, 5) &amp; TEXT(VALUE(REGEXEXTRACT(A24, ""\d+"")) + 1, ""000"")"),"GEAR-023")</f>
        <v>GEAR-023</v>
      </c>
      <c r="B25" s="3" t="s">
        <v>50</v>
      </c>
      <c r="C25" s="3" t="s">
        <v>33</v>
      </c>
      <c r="D25" s="3">
        <v>5.0</v>
      </c>
      <c r="E25" s="3">
        <v>2.0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tr">
        <f>IFERROR(__xludf.DUMMYFUNCTION("LEFT(A25, 5) &amp; TEXT(VALUE(REGEXEXTRACT(A25, ""\d+"")) + 1, ""000"")"),"GEAR-024")</f>
        <v>GEAR-024</v>
      </c>
      <c r="B26" s="3" t="s">
        <v>51</v>
      </c>
      <c r="C26" s="3" t="s">
        <v>33</v>
      </c>
      <c r="D26" s="3">
        <v>10.0</v>
      </c>
      <c r="E26" s="3">
        <v>0.5</v>
      </c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tr">
        <f>IFERROR(__xludf.DUMMYFUNCTION("LEFT(A26, 5) &amp; TEXT(VALUE(REGEXEXTRACT(A26, ""\d+"")) + 1, ""000"")"),"GEAR-025")</f>
        <v>GEAR-025</v>
      </c>
      <c r="B27" s="3" t="s">
        <v>52</v>
      </c>
      <c r="C27" s="3" t="s">
        <v>33</v>
      </c>
      <c r="D27" s="3">
        <v>30.0</v>
      </c>
      <c r="E27" s="3">
        <v>1.0</v>
      </c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tr">
        <f>IFERROR(__xludf.DUMMYFUNCTION("LEFT(A27, 5) &amp; TEXT(VALUE(REGEXEXTRACT(A27, ""\d+"")) + 1, ""000"")"),"GEAR-026")</f>
        <v>GEAR-026</v>
      </c>
      <c r="B28" s="3" t="s">
        <v>53</v>
      </c>
      <c r="C28" s="3" t="s">
        <v>54</v>
      </c>
      <c r="D28" s="3">
        <v>10.0</v>
      </c>
      <c r="E28" s="3">
        <v>0.25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tr">
        <f>IFERROR(__xludf.DUMMYFUNCTION("LEFT(A28, 5) &amp; TEXT(VALUE(REGEXEXTRACT(A28, ""\d+"")) + 1, ""000"")"),"GEAR-027")</f>
        <v>GEAR-027</v>
      </c>
      <c r="B29" s="3" t="s">
        <v>55</v>
      </c>
      <c r="C29" s="3" t="s">
        <v>54</v>
      </c>
      <c r="D29" s="3">
        <v>30.0</v>
      </c>
      <c r="E29" s="3">
        <v>0.5</v>
      </c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tr">
        <f>IFERROR(__xludf.DUMMYFUNCTION("LEFT(A29, 5) &amp; TEXT(VALUE(REGEXEXTRACT(A29, ""\d+"")) + 1, ""000"")"),"GEAR-028")</f>
        <v>GEAR-028</v>
      </c>
      <c r="B30" s="3" t="s">
        <v>56</v>
      </c>
      <c r="C30" s="3" t="s">
        <v>54</v>
      </c>
      <c r="D30" s="3">
        <v>80.0</v>
      </c>
      <c r="E30" s="3">
        <v>1.5</v>
      </c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tr">
        <f>IFERROR(__xludf.DUMMYFUNCTION("LEFT(A30, 5) &amp; TEXT(VALUE(REGEXEXTRACT(A30, ""\d+"")) + 1, ""000"")"),"GEAR-029")</f>
        <v>GEAR-029</v>
      </c>
      <c r="B31" s="3" t="s">
        <v>57</v>
      </c>
      <c r="C31" s="3" t="s">
        <v>54</v>
      </c>
      <c r="D31" s="3">
        <v>120.0</v>
      </c>
      <c r="E31" s="3">
        <v>5.0</v>
      </c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tr">
        <f>IFERROR(__xludf.DUMMYFUNCTION("LEFT(A31, 5) &amp; TEXT(VALUE(REGEXEXTRACT(A31, ""\d+"")) + 1, ""000"")"),"GEAR-030")</f>
        <v>GEAR-030</v>
      </c>
      <c r="B32" s="3" t="s">
        <v>58</v>
      </c>
      <c r="C32" s="3" t="s">
        <v>59</v>
      </c>
      <c r="D32" s="3">
        <v>5.0</v>
      </c>
      <c r="E32" s="3">
        <v>0.25</v>
      </c>
      <c r="F32" s="3" t="s">
        <v>60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tr">
        <f>IFERROR(__xludf.DUMMYFUNCTION("LEFT(A32, 5) &amp; TEXT(VALUE(REGEXEXTRACT(A32, ""\d+"")) + 1, ""000"")"),"GEAR-031")</f>
        <v>GEAR-031</v>
      </c>
      <c r="B33" s="3" t="s">
        <v>61</v>
      </c>
      <c r="C33" s="3" t="s">
        <v>59</v>
      </c>
      <c r="D33" s="3">
        <v>15.0</v>
      </c>
      <c r="E33" s="3">
        <v>0.8</v>
      </c>
      <c r="F33" s="3" t="s">
        <v>62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tr">
        <f>IFERROR(__xludf.DUMMYFUNCTION("LEFT(A33, 5) &amp; TEXT(VALUE(REGEXEXTRACT(A33, ""\d+"")) + 1, ""000"")"),"GEAR-032")</f>
        <v>GEAR-032</v>
      </c>
      <c r="B34" s="3" t="s">
        <v>63</v>
      </c>
      <c r="C34" s="3" t="s">
        <v>59</v>
      </c>
      <c r="D34" s="3">
        <v>25.0</v>
      </c>
      <c r="E34" s="3">
        <v>2.5</v>
      </c>
      <c r="F34" s="3" t="s">
        <v>64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tr">
        <f>IFERROR(__xludf.DUMMYFUNCTION("LEFT(A34, 5) &amp; TEXT(VALUE(REGEXEXTRACT(A34, ""\d+"")) + 1, ""000"")"),"GEAR-033")</f>
        <v>GEAR-033</v>
      </c>
      <c r="B35" s="6" t="s">
        <v>65</v>
      </c>
      <c r="C35" s="7" t="s">
        <v>59</v>
      </c>
      <c r="D35" s="8">
        <v>100.0</v>
      </c>
      <c r="E35" s="8">
        <v>8.0</v>
      </c>
      <c r="F35" s="6" t="s">
        <v>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tr">
        <f>IFERROR(__xludf.DUMMYFUNCTION("LEFT(A35, 5) &amp; TEXT(VALUE(REGEXEXTRACT(A35, ""\d+"")) + 1, ""000"")"),"GEAR-034")</f>
        <v>GEAR-034</v>
      </c>
      <c r="B36" s="3" t="s">
        <v>67</v>
      </c>
      <c r="C36" s="7" t="s">
        <v>59</v>
      </c>
      <c r="D36" s="3">
        <v>3.0</v>
      </c>
      <c r="E36" s="3">
        <v>0.25</v>
      </c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tr">
        <f>IFERROR(__xludf.DUMMYFUNCTION("LEFT(A36, 5) &amp; TEXT(VALUE(REGEXEXTRACT(A36, ""\d+"")) + 1, ""000"")"),"GEAR-035")</f>
        <v>GEAR-035</v>
      </c>
      <c r="B37" s="3" t="s">
        <v>68</v>
      </c>
      <c r="C37" s="7" t="s">
        <v>59</v>
      </c>
      <c r="D37" s="3">
        <v>20.0</v>
      </c>
      <c r="E37" s="3">
        <v>1.0</v>
      </c>
      <c r="F37" s="3" t="s">
        <v>69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tr">
        <f>IFERROR(__xludf.DUMMYFUNCTION("LEFT(A37, 5) &amp; TEXT(VALUE(REGEXEXTRACT(A37, ""\d+"")) + 1, ""000"")"),"GEAR-036")</f>
        <v>GEAR-036</v>
      </c>
      <c r="B38" s="3" t="s">
        <v>70</v>
      </c>
      <c r="C38" s="3" t="s">
        <v>71</v>
      </c>
      <c r="D38" s="3">
        <v>30.0</v>
      </c>
      <c r="E38" s="3">
        <v>0.05</v>
      </c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tr">
        <f>IFERROR(__xludf.DUMMYFUNCTION("LEFT(A38, 5) &amp; TEXT(VALUE(REGEXEXTRACT(A38, ""\d+"")) + 1, ""000"")"),"GEAR-037")</f>
        <v>GEAR-037</v>
      </c>
      <c r="B39" s="3" t="s">
        <v>72</v>
      </c>
      <c r="C39" s="3" t="s">
        <v>71</v>
      </c>
      <c r="D39" s="3">
        <v>200.0</v>
      </c>
      <c r="E39" s="3">
        <v>0.05</v>
      </c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tr">
        <f>IFERROR(__xludf.DUMMYFUNCTION("LEFT(A39, 5) &amp; TEXT(VALUE(REGEXEXTRACT(A39, ""\d+"")) + 1, ""000"")"),"GEAR-038")</f>
        <v>GEAR-038</v>
      </c>
      <c r="B40" s="3" t="s">
        <v>73</v>
      </c>
      <c r="C40" s="3" t="s">
        <v>74</v>
      </c>
      <c r="D40" s="3">
        <v>15.0</v>
      </c>
      <c r="E40" s="3">
        <v>4.0</v>
      </c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tr">
        <f>IFERROR(__xludf.DUMMYFUNCTION("LEFT(A40, 5) &amp; TEXT(VALUE(REGEXEXTRACT(A40, ""\d+"")) + 1, ""000"")"),"GEAR-039")</f>
        <v>GEAR-039</v>
      </c>
      <c r="B41" s="3" t="s">
        <v>75</v>
      </c>
      <c r="C41" s="3" t="s">
        <v>74</v>
      </c>
      <c r="D41" s="3">
        <v>30.0</v>
      </c>
      <c r="E41" s="3">
        <v>3.0</v>
      </c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tr">
        <f>IFERROR(__xludf.DUMMYFUNCTION("LEFT(A41, 5) &amp; TEXT(VALUE(REGEXEXTRACT(A41, ""\d+"")) + 1, ""000"")"),"GEAR-040")</f>
        <v>GEAR-040</v>
      </c>
      <c r="B42" s="3" t="s">
        <v>76</v>
      </c>
      <c r="C42" s="3" t="s">
        <v>74</v>
      </c>
      <c r="D42" s="3">
        <v>10.0</v>
      </c>
      <c r="E42" s="3">
        <v>5.0</v>
      </c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tr">
        <f>IFERROR(__xludf.DUMMYFUNCTION("LEFT(A42, 5) &amp; TEXT(VALUE(REGEXEXTRACT(A42, ""\d+"")) + 1, ""000"")"),"GEAR-041")</f>
        <v>GEAR-041</v>
      </c>
      <c r="B43" s="3" t="s">
        <v>77</v>
      </c>
      <c r="C43" s="3" t="s">
        <v>74</v>
      </c>
      <c r="D43" s="3">
        <v>12.0</v>
      </c>
      <c r="E43" s="3">
        <v>2.0</v>
      </c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tr">
        <f>IFERROR(__xludf.DUMMYFUNCTION("LEFT(A43, 5) &amp; TEXT(VALUE(REGEXEXTRACT(A43, ""\d+"")) + 1, ""000"")"),"GEAR-042")</f>
        <v>GEAR-042</v>
      </c>
      <c r="B44" s="3" t="s">
        <v>78</v>
      </c>
      <c r="C44" s="3" t="s">
        <v>74</v>
      </c>
      <c r="D44" s="3">
        <v>20.0</v>
      </c>
      <c r="E44" s="3">
        <v>1.0</v>
      </c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/>
      <c r="B76" s="5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/>
      <c r="B78" s="5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5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5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5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5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/>
      <c r="B90" s="5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/>
      <c r="B92" s="5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/>
      <c r="B94" s="5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5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/>
      <c r="B98" s="5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5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