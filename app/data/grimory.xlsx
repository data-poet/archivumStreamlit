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anomancia" sheetId="1" r:id="rId5"/>
    <sheet state="visible" name="Hagiomancia" sheetId="2" r:id="rId6"/>
    <sheet state="visible" name="Hemomancia" sheetId="3" r:id="rId7"/>
    <sheet state="visible" name="Kinetomancia" sheetId="4" r:id="rId8"/>
    <sheet state="visible" name="Psiquemancia" sheetId="5" r:id="rId9"/>
    <sheet state="visible" name="Somatomancia" sheetId="6" r:id="rId10"/>
    <sheet state="visible" name="Umbromancia" sheetId="7" r:id="rId11"/>
    <sheet state="visible" name="Zoomancia" sheetId="8" r:id="rId12"/>
  </sheets>
  <definedNames/>
  <calcPr/>
</workbook>
</file>

<file path=xl/sharedStrings.xml><?xml version="1.0" encoding="utf-8"?>
<sst xmlns="http://schemas.openxmlformats.org/spreadsheetml/2006/main" count="13133" uniqueCount="1129">
  <si>
    <t>spell_id</t>
  </si>
  <si>
    <t>spell_school</t>
  </si>
  <si>
    <t>spell_name</t>
  </si>
  <si>
    <t>spell_box_name</t>
  </si>
  <si>
    <t>spell_difficulty</t>
  </si>
  <si>
    <t>spell_tier</t>
  </si>
  <si>
    <t>spell_type</t>
  </si>
  <si>
    <t>spell_requirements</t>
  </si>
  <si>
    <t>spell_cost</t>
  </si>
  <si>
    <t>spell_cast_time</t>
  </si>
  <si>
    <t>spell_target_type</t>
  </si>
  <si>
    <t>spell_range</t>
  </si>
  <si>
    <t>spell_effect_area</t>
  </si>
  <si>
    <t>spell_scaling</t>
  </si>
  <si>
    <t>spell_duration</t>
  </si>
  <si>
    <t>spell_description</t>
  </si>
  <si>
    <t>spell_observation</t>
  </si>
  <si>
    <t>MAN-0000</t>
  </si>
  <si>
    <t>Arcanomancia</t>
  </si>
  <si>
    <t>Moldar Mana</t>
  </si>
  <si>
    <t>F</t>
  </si>
  <si>
    <t>Aprendiz</t>
  </si>
  <si>
    <t>Mental</t>
  </si>
  <si>
    <t>Instantâneo</t>
  </si>
  <si>
    <t>Self</t>
  </si>
  <si>
    <t xml:space="preserve">
- O conjurador consegue manipular o fluxo de Mana ao seu redor.
- Esse feitiço é utilizado em qualquer disputa mágica.
- Esse feitiço é utilizado para teste de Cast Rápido em caso do feitiço ter um tempo de cast igual ou maior que 1 Turno.</t>
  </si>
  <si>
    <t xml:space="preserve">
- Esse feitiço é a fundação para qualquer ser que queira manipular magia em Ytarria, sendo requisito para todo e qualquer feitiço.
- Esse feitiço limita o NH de todos os outros, ou seja, todos os feitiços no grimório de um conjurador tem seu NH limitado pelo NH deste.</t>
  </si>
  <si>
    <t>Experiente</t>
  </si>
  <si>
    <t>Veterano</t>
  </si>
  <si>
    <t>Especialista</t>
  </si>
  <si>
    <t>Mestre</t>
  </si>
  <si>
    <t>Sentir Mana</t>
  </si>
  <si>
    <t>Detecção</t>
  </si>
  <si>
    <t xml:space="preserve">
- Moldar Mana</t>
  </si>
  <si>
    <t>Área</t>
  </si>
  <si>
    <t>5 Hex</t>
  </si>
  <si>
    <t xml:space="preserve">
- +1 de Mana para cada 1 Hex de raio de alcance adicional.</t>
  </si>
  <si>
    <t xml:space="preserve">
- O conjurador consegue sentir a presença de Mana em qualquer objeto ou ser ao seu redor.</t>
  </si>
  <si>
    <t>10 Hex</t>
  </si>
  <si>
    <t>15 Hex</t>
  </si>
  <si>
    <t xml:space="preserve">
- +1 de Mana para cada 2 Hex de raio de alcance adicionais.</t>
  </si>
  <si>
    <t>20 Hex</t>
  </si>
  <si>
    <t>25 Hex</t>
  </si>
  <si>
    <t xml:space="preserve">
- +1 de Mana para cada 3 Hex de raio de alcance adicionais.</t>
  </si>
  <si>
    <t>Sentir Aura</t>
  </si>
  <si>
    <t xml:space="preserve">
- O conjurador consegue sentir a presença de Vida ao seu redor.</t>
  </si>
  <si>
    <t xml:space="preserve">
- Esse feitiço é resistido pelo feitiço Ocultar Aura.</t>
  </si>
  <si>
    <t>Ocultar Aura</t>
  </si>
  <si>
    <t>M</t>
  </si>
  <si>
    <t xml:space="preserve">
- Moldar Mana
- Sentir Aura</t>
  </si>
  <si>
    <t>1 Turno</t>
  </si>
  <si>
    <t>- +1 de Mana para cada 1 minuto adicional.</t>
  </si>
  <si>
    <t>1 Minuto</t>
  </si>
  <si>
    <t xml:space="preserve">
- O conjurador consegue esconder a sua energia vital, tornando-se indetectável perante magias do tipo Detecção.</t>
  </si>
  <si>
    <t xml:space="preserve">
- O conjurador ainda pode ser detectado normalmente por testes de Percepção.</t>
  </si>
  <si>
    <t>5 Minutos</t>
  </si>
  <si>
    <t>- +1 de Mana para cada 5 minutos adicionais.</t>
  </si>
  <si>
    <t>10 Minutos</t>
  </si>
  <si>
    <t>- +1 de Mana para cada 10 minutos adicionais.</t>
  </si>
  <si>
    <t>30 Minutos</t>
  </si>
  <si>
    <t>- +1 de Mana para cada 30 minutos adicionais.</t>
  </si>
  <si>
    <t>1 Hora</t>
  </si>
  <si>
    <t>Suspender Feitiço</t>
  </si>
  <si>
    <t>Dissipação</t>
  </si>
  <si>
    <t>Feitiço</t>
  </si>
  <si>
    <t>3 Hex</t>
  </si>
  <si>
    <t>1 Hex</t>
  </si>
  <si>
    <t xml:space="preserve">
- O conjurador consegue suspender um feitiço de um objeto ou ser.</t>
  </si>
  <si>
    <t xml:space="preserve">
- O alvo do feitiço resiste caso tenha utilizado o feitiço Proteger Feitiço. Caso contrário pode tentar disputar um teste de NH do feitiço Moldar Mana contra o NH -1 do conjurador neste.
- Em caso de sucesso consegue manter seu feitiço, caso perca ou empate no teste, o feitiço é dissipado.</t>
  </si>
  <si>
    <t xml:space="preserve">
- O alvo do feitiço resiste caso tenha utilizado o feitiço Proteger Feitiço. Caso contrário pode tentar disputar um teste de NH do feitiço Moldar Mana contra o NH -2 do conjurador neste.
- Em caso de sucesso consegue manter seu feitiço, caso perca ou empate no teste, o feitiço é dissipado.</t>
  </si>
  <si>
    <t>8 Hex</t>
  </si>
  <si>
    <t xml:space="preserve">
- O alvo do feitiço resiste caso tenha utilizado o feitiço Proteger Feitiço. Caso contrário pode tentar disputar um teste de NH do feitiço Moldar Mana contra o NH - 3 do conjurador neste.
- Em caso de sucesso consegue manter seu feitiço, caso perca ou empate no teste, o feitiço é dissipado.</t>
  </si>
  <si>
    <t>12 Hex</t>
  </si>
  <si>
    <t xml:space="preserve">
- O alvo do feitiço resiste caso tenha utilizado o feitiço Proteger Feitiço. Caso contrário pode tentar disputar um teste de NH do feitiço Moldar Mana contra o NH -4 do conjurador neste.
- Em caso de sucesso consegue manter seu feitiço, caso perca ou empate no teste, o feitiço é dissipado.</t>
  </si>
  <si>
    <t xml:space="preserve">
- O alvo do feitiço resiste caso tenha utilizado o feitiço Proteger Feitiço. Caso contrário pode tentar disputar um teste de NH - 5 do feitiço Moldar Mana contra o NH do conjurador neste.
- Em caso de sucesso consegue manter seu feitiço, caso perca ou empate no teste, o feitiço é dissipado.</t>
  </si>
  <si>
    <t>Roubar Feitiço</t>
  </si>
  <si>
    <t>D</t>
  </si>
  <si>
    <t>Manipulação</t>
  </si>
  <si>
    <t xml:space="preserve">
- Moldar Mana
- Suspender Feitiço</t>
  </si>
  <si>
    <t xml:space="preserve">
- O conjurador rouba o feitiço de um objeto ou ser.</t>
  </si>
  <si>
    <t xml:space="preserve">
- O alvo do feitiço resiste caso tenha utilizado o feitiço Proteger Feitiço. Caso contrário pode tentar disputar um teste de NH do feitiço Moldar Mana contra o NH -1 do conjurador neste.
- Em caso de sucesso consegue manter seu feitiço, caso perca ou empate no teste, o feitiço é roubado.</t>
  </si>
  <si>
    <t xml:space="preserve">
- O alvo do feitiço resiste caso tenha utilizado o feitiço Proteger Feitiço. Caso contrário pode tentar disputar um teste de NH do feitiço Moldar Mana contra o NH -2 do conjurador neste.
- Em caso de sucesso consegue manter seu feitiço, caso perca ou empate no teste, o feitiço é roubado.</t>
  </si>
  <si>
    <t xml:space="preserve">
- O alvo do feitiço resiste caso tenha utilizado o feitiço Proteger Feitiço. Caso contrário pode tentar disputar um teste de NH do feitiço Moldar Mana contra o NH -3 do conjurador neste.
- Em caso de sucesso consegue manter seu feitiço, caso perca ou empate no teste, o feitiço é roubado.</t>
  </si>
  <si>
    <t xml:space="preserve">
- O alvo do feitiço resiste caso tenha utilizado o feitiço Proteger Feitiço. Caso contrário pode tentar disputar um teste de NH do feitiço Moldar Mana contra o NH -4 do conjurador neste.
- Em caso de sucesso consegue manter seu feitiço, caso perca ou empate no teste, o feitiço é roubado.</t>
  </si>
  <si>
    <t xml:space="preserve">
- O alvo do feitiço resiste caso tenha utilizado o feitiço Proteger Feitiço. Caso contrário pode tentar disputar um teste de NH do feitiço Moldar Mana contra o NH -5 do conjurador neste.
- Em caso de sucesso consegue manter seu feitiço, caso perca ou empate no teste, o feitiço é roubado.</t>
  </si>
  <si>
    <t>Proteger Feitiço</t>
  </si>
  <si>
    <t>Proteção</t>
  </si>
  <si>
    <t xml:space="preserve">
- O conjurador protege um feitiço contra os feitiços Suspender Feitiço e Roubar Feitiço.</t>
  </si>
  <si>
    <t xml:space="preserve">
- O conjurador pode proteger seus próprios feitiços pelo custo de fixo de 1 de Mana, já para proteger o feitiço de outra ser ou objeto ele terá um custo de 5 Mana.</t>
  </si>
  <si>
    <t xml:space="preserve">
- O conjurador pode proteger seus próprios feitiços pelo custo de fixo de 1 de Mana, já para proteger o feitiço de outra ser ou objeto ele terá um custo de 4 Mana.</t>
  </si>
  <si>
    <t xml:space="preserve">
- O conjurador pode proteger seus próprios feitiços pelo custo de fixo de 1 de Mana, já para proteger o feitiço de outra ser ou objeto ele terá um custo de 3 Mana.</t>
  </si>
  <si>
    <t xml:space="preserve">
- O conjurador pode proteger seus próprios feitiços pelo custo de fixo de 1 de Mana, já para proteger o feitiço de outra ser ou objeto ele terá um custo de 2 Mana.</t>
  </si>
  <si>
    <t xml:space="preserve">
- O conjurador pode proteger quaisquer feitiços pelo custo de fixo de 1 de Mana.</t>
  </si>
  <si>
    <t>Roubar Mana</t>
  </si>
  <si>
    <t>MD</t>
  </si>
  <si>
    <t>Alvo Único</t>
  </si>
  <si>
    <t xml:space="preserve">
- +1 de Mana para cada 1 Hex de raio de alcance adicional.
- x2 de Mana para roubar o dobro de Mana.</t>
  </si>
  <si>
    <t xml:space="preserve">
- O conjurador rouba 1d6+2 de Mana de um objeto ou ser.</t>
  </si>
  <si>
    <t xml:space="preserve">
- O alvo do feitiço resiste caso tenha utilizado o feitiço Proteger Mana. Caso contrário pode tentar disputar um teste de NH do feitiço Moldar Mana contra o NH -1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</si>
  <si>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 xml:space="preserve">
- O conjurador rouba 1d6+4 de Mana de um objeto ou ser.</t>
  </si>
  <si>
    <t xml:space="preserve">
- O alvo do feitiço resiste caso tenha utilizado o feitiço Proteger Mana. Caso contrário pode tentar disputar um teste de NH do feitiço Moldar Mana contra o NH -2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</si>
  <si>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 xml:space="preserve">
- +1 de Mana para cada 2 Hex de raio de alcance adicional.
- x2 de Mana para roubar o dobro de Mana.</t>
  </si>
  <si>
    <t xml:space="preserve">
- O conjurador rouba 1d6+6 de Mana de um objeto ou ser.</t>
  </si>
  <si>
    <t xml:space="preserve">
- O alvo do feitiço resiste caso tenha utilizado o feitiço Proteger Mana. Caso contrário pode tentar disputar um teste de NH do feitiço Moldar Mana contra o NH -3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</si>
  <si>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 xml:space="preserve">
- O conjurador rouba 1d6+8 de Mana de um objeto ou ser.</t>
  </si>
  <si>
    <t xml:space="preserve">
- O alvo do feitiço resiste caso tenha utilizado o feitiço Proteger Mana. Caso contrário pode tentar disputar um teste de NH do feitiço Moldar Mana contra o NH -4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</si>
  <si>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 xml:space="preserve">
- +1 de Mana para cada 1 Hex de raio de alcance adicional.
- x2 de Mana para roubar o triplo de Mana.</t>
  </si>
  <si>
    <t xml:space="preserve">
- O conjurador rouba 1d6+12 de Mana de um objeto ou ser.</t>
  </si>
  <si>
    <t xml:space="preserve">
- O alvo do feitiço resiste caso tenha utilizado o feitiço Proteger Mana. Caso contrário pode tentar disputar um teste de NH do feitiço Moldar Mana contra o NH -5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</si>
  <si>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Proteger Mana</t>
  </si>
  <si>
    <t xml:space="preserve">
- O conjurador protege um objeto ou ser contra o feitiço Roubar Mana.</t>
  </si>
  <si>
    <t xml:space="preserve">
- O conjurador pode proteger sua própria Mana pelo custo de fixo de 1 de Mana, já para proteger o feitiço de outra ser ou objeto ele terá um custo de 5 Mana.</t>
  </si>
  <si>
    <t xml:space="preserve">
- O conjurador pode proteger sua própria Mana pelo custo de fixo de 1 de Mana, já para proteger o feitiço de outra ser ou objeto ele terá um custo de 4 Mana.</t>
  </si>
  <si>
    <t xml:space="preserve">
- O conjurador pode proteger sua própria Mana pelo custo de fixo de 1 de Mana, já para proteger o feitiço de outra ser ou objeto ele terá um custo de 3 Mana.</t>
  </si>
  <si>
    <t xml:space="preserve">
- O conjurador pode proteger sua própria Mana pelo custo de fixo de 1 de Mana, já para proteger o feitiço de outra ser ou objeto ele terá um custo de 2 Mana.</t>
  </si>
  <si>
    <t xml:space="preserve">
- O conjurador pode proteger a Mana de quaisquer ser ou ser pelo custo de fixo de 1 de Mana.</t>
  </si>
  <si>
    <t>Emprestar Mana</t>
  </si>
  <si>
    <t>Variável</t>
  </si>
  <si>
    <t xml:space="preserve">
- O conjurador empresta uma quantidade desejada de Mana para um objeto ou ser que tenha algum traço de capacidade mágica.</t>
  </si>
  <si>
    <t xml:space="preserve">
- O valor de Mana emprestado não pode ser superior a Mana total do conjurador e nem pode zerar a Mana deste.</t>
  </si>
  <si>
    <t>Alterar Arquétipo</t>
  </si>
  <si>
    <t xml:space="preserve">
- O conjurador consegue alterar o arquétipo de feitiços das escolas de magia do arquétipo elemental.</t>
  </si>
  <si>
    <t>Alterar Escola</t>
  </si>
  <si>
    <t>Armadura Mágica</t>
  </si>
  <si>
    <t>Área ocupada pelo alvo</t>
  </si>
  <si>
    <t xml:space="preserve">
- +1 de Mana para cada 1 Hex de raio de alcance adicional.
- +5 de Mana para cada Turno de duração adicional.</t>
  </si>
  <si>
    <t>2 Turnos</t>
  </si>
  <si>
    <t xml:space="preserve">
- Aumenta a resistência a dano de um alvo vivo. A RD deste feitiço é tratada para todos os efeitos como a RD de uma armadura.
- RD +1</t>
  </si>
  <si>
    <t xml:space="preserve">
- +1 de Mana para cada 1 Hex de raio de alcance adicional.
- +4 de Mana para cada Turno de duração adicional.</t>
  </si>
  <si>
    <t xml:space="preserve">
- Aumenta a resistência a dano de um alvo vivo. A RD deste feitiço é tratada para todos os efeitos como a RD de uma armadura.
- RD +2</t>
  </si>
  <si>
    <t xml:space="preserve">
- +1 de Mana para cada 2 Hex de raio de alcance adicionais.
- +3 de Mana para cada Turno de duração adicional.</t>
  </si>
  <si>
    <t>3 Turnos</t>
  </si>
  <si>
    <t xml:space="preserve">
- Aumenta a resistência a dano de um alvo vivo. A RD deste feitiço é tratada para todos os efeitos como a RD de uma armadura.
- RD +3</t>
  </si>
  <si>
    <t xml:space="preserve">
- +1 de Mana para cada 2 Hex de raio de alcance adicionais.
- +2 de Mana para cada Turno de duração adicional.
</t>
  </si>
  <si>
    <t xml:space="preserve">
- Aumenta a resistência a dano de um alvo vivo. A RD deste feitiço é tratada para todos os efeitos como a RD de uma armadura.
- RD +4</t>
  </si>
  <si>
    <t xml:space="preserve">
- +1 de Mana para cada 3 Hex de raio de alcance adicionais.
- +1 de Mana para cada Turno de duração adicional.</t>
  </si>
  <si>
    <t>5 Turnos</t>
  </si>
  <si>
    <t xml:space="preserve">
- Aumenta a resistência a dano de um alvo vivo. A RD deste feitiço é tratada para todos os efeitos como a RD de uma armadura.
- RD +5</t>
  </si>
  <si>
    <t>Escudo de Projéteis</t>
  </si>
  <si>
    <t xml:space="preserve">
- Desvia qualquer projétil inofensivamente pela fração mínima necessária para garantir que errem o alvo; o efeito no jogo é que o projétil continua em linha reta, passando pelo alvo. </t>
  </si>
  <si>
    <t xml:space="preserve">
- Funciona com todos os tipos de projéteis flechas, balas, pedras caindo, magias de projéteis, estilhaços, ttudo.
- O Mestre deve ocultar a existência da magia dos inimigos do conjurador o máximo possível, dizendo que eles erraram por pouco!</t>
  </si>
  <si>
    <t>Reverter Projéteis</t>
  </si>
  <si>
    <t xml:space="preserve">
- Moldar Mana
- Escudo de Projéteis</t>
  </si>
  <si>
    <t xml:space="preserve">
- Reflete qualquer ataque à distância (incluindo magias do tipo Projétil) de volta para o atacante.
- Se o teste de ataque do atacante for bem-sucedido, ele se acerta; caso contrário, ele vê o projétil voar de volta em sua direção e errar o alvo. </t>
  </si>
  <si>
    <t xml:space="preserve">
- O efeito no jogo é como se o projétil tivesse ricocheteado diretamente do alvo da magia para o atacante.</t>
  </si>
  <si>
    <t>Arremesar Feitiço</t>
  </si>
  <si>
    <t>Projétil</t>
  </si>
  <si>
    <t>IQ x 1 Hex</t>
  </si>
  <si>
    <t xml:space="preserve">
- +1 de Mana para cada 1 Hex de alcance adicionais.</t>
  </si>
  <si>
    <t xml:space="preserve">
- Magia base para feitiços do tipo Projétil.</t>
  </si>
  <si>
    <t xml:space="preserve">
- +1 de Dano Arcano para o feitiço arremessado.</t>
  </si>
  <si>
    <t>IQ x 2 Hex</t>
  </si>
  <si>
    <t>IQ x 3 Hex</t>
  </si>
  <si>
    <t xml:space="preserve">
- +1 de Mana para cada 2 Hex de alcance adicionais.</t>
  </si>
  <si>
    <t xml:space="preserve">
- +2 de Dano Arcano para o feitiço arremessado.</t>
  </si>
  <si>
    <t>IQ x 4 Hex</t>
  </si>
  <si>
    <t>IQ x 5 Hex</t>
  </si>
  <si>
    <t xml:space="preserve">
- +1 de Mana para cada 3 Hex de alcance adicionais.</t>
  </si>
  <si>
    <t xml:space="preserve">
- +3 de Dano Arcano para o feitiço arremessado.</t>
  </si>
  <si>
    <t>Marcar</t>
  </si>
  <si>
    <t>Indefinida</t>
  </si>
  <si>
    <t xml:space="preserve">
- +1 de Mana para cada 1 Hex de raio de alcance adicional.
- +5 de Mana para cada dia de duração adicional.</t>
  </si>
  <si>
    <t>1 Dia</t>
  </si>
  <si>
    <t xml:space="preserve">
- O conjurador marca um objeto ou ser ao tocá-lo.</t>
  </si>
  <si>
    <t xml:space="preserve">
- +1 de Mana para cada 1 Hex de raio de alcance adicional.
- +4 de Mana para cada 7 dias de duração adicional.</t>
  </si>
  <si>
    <t>7 Dias</t>
  </si>
  <si>
    <t xml:space="preserve">
- +1 de Mana para cada 2 Hex de raio de alcance adicionais.
- +3 de Mana para cada 14 dias de duração adicional.</t>
  </si>
  <si>
    <t>14 Dias</t>
  </si>
  <si>
    <t xml:space="preserve">
- +1 de Mana para cada 2 Hex de raio de alcance adicionais.
- +2 de Mana para cada 21 dias de duração adicional.
</t>
  </si>
  <si>
    <t>21 Dias</t>
  </si>
  <si>
    <t xml:space="preserve">
- +1 de Mana para cada 3 Hex de raio de alcance adicionais.
- +1 de Mana para cada30 dias de duração adicional.</t>
  </si>
  <si>
    <t>30 Dias</t>
  </si>
  <si>
    <t>Buscar</t>
  </si>
  <si>
    <t xml:space="preserve">
- Moldar Mana
- Marcar</t>
  </si>
  <si>
    <t xml:space="preserve">
- 11-20 Hex: Custo 2, NH-1
- 20-100 Hex: Custo 3, NH-2
- 101-500 Hex: Custo 4, NH-3
- 501 Hex a 1,99 km: Custo 5, NH-4
- 2 a 9,99 km: Custo 6, NH-5
- 10 a 99,99 km: Custo 7, NH-6
- 100 a 999,99 km: Custo 8, NH-7
E assim por diante, com custo +1 e habilidade -1 para cada aumento de 10x na distância.</t>
  </si>
  <si>
    <t xml:space="preserve">
- O conjurador consegue encontrar um obejto ou ser, desde que já o tenha visto pessoalmente, em qualquer lugar no mundo. Porém, quanto maior a distância menor será a precisão.</t>
  </si>
  <si>
    <t xml:space="preserve">
- Caso a entidade esteja afetada pelo feitiço Marcar o feitiço irá retornar a localização exata.</t>
  </si>
  <si>
    <t xml:space="preserve">
- 20-100 Hex: Custo 2, NH-1
- 101-500 Hex: Custo 3, NH-2
- 501 Hex a 1,99 km: Custo 4, NH-3
- 2 a 9,99 km: Custo 5, NH-4
- 10 a 99,99 km: Custo 6, NH-5
- 100 a 999,99 km: Custo 7, NH-6
E assim por diante, com custo +1 e habilidade -1 para cada aumento de 10x na distância.</t>
  </si>
  <si>
    <t>100 Hex</t>
  </si>
  <si>
    <t xml:space="preserve">
- 101-500 Hex: Custo 2, NH-1
- 501 Hex a 1,99 km: Custo 3, NH-2
- 2 a 9,99 km: Custo 4, NH-3
- 10 a 99,99 km: Custo 5, NH-4
- 100 a 999,99 km: Custo 6, NH-5
E assim por diante, com custo +1 e habilidade -1 para cada aumento de 10x na distância.</t>
  </si>
  <si>
    <t>500 Hex</t>
  </si>
  <si>
    <t xml:space="preserve">
- 501 Hex a 1,99 km: Custo 2, NH-1
- 2 a 9,99 km: Custo 3, NH-2
- 10 a 99,99 km: Custo 4, NH-3
- 100 a 999,99 km: Custo 5, NH-4
E assim por diante, com custo +1 e habilidade -1 para cada aumento de 10x na distância.</t>
  </si>
  <si>
    <t>2 Km</t>
  </si>
  <si>
    <t xml:space="preserve">
- 2 a 9,99 km: Custo 2, NH-1
- 10 a 99,99 km: Custo 3, NH-2
- 100 a 999,99 km: Custo 4, NH-3
E assim por diante, com custo +1 e habilidade -1 para cada aumento de 10x na distância.</t>
  </si>
  <si>
    <t>Medir</t>
  </si>
  <si>
    <t>Linha de Visão</t>
  </si>
  <si>
    <t xml:space="preserve">
- O conjurador obtém as dimensões de um objeto, desde que este esteja em seu campo de visão.
- O conjurador pode utilizar esse feitiço para medir a distância entre ele e algo que esteja em seu campo de visão.</t>
  </si>
  <si>
    <t xml:space="preserve">
-Se utilizado antes de um feitiço do tipo Projétil ou ação que se beneficie da manobra Mirar, concede um bônus de +1.</t>
  </si>
  <si>
    <t xml:space="preserve">
-Se utilizado antes de um feitiço do tipo Projétil ou ação que se beneficie da manobra Mirar, concede um bônus de +2.</t>
  </si>
  <si>
    <t xml:space="preserve">
-Se utilizado antes de um feitiço do tipo Projétil ou ação que se beneficie da manobra Mirar, concede um bônus de +3.</t>
  </si>
  <si>
    <t xml:space="preserve">
-Se utilizado antes de um feitiço do tipo Projétil ou ação que se beneficie da manobra Mirar, concede um bônus de +4.</t>
  </si>
  <si>
    <t xml:space="preserve">
-Se utilizado antes de um feitiço do tipo Projétil ou ação que se beneficie da manobra Mirar, concede um bônus de +5.</t>
  </si>
  <si>
    <t>Encontrar Caminho</t>
  </si>
  <si>
    <t xml:space="preserve">
- O conjurador consegue identificar o caminho até o destino desejado.</t>
  </si>
  <si>
    <t>Mostrar História</t>
  </si>
  <si>
    <t>Toque</t>
  </si>
  <si>
    <t xml:space="preserve">
- +8 de Mana para 1 mês.
- +16 de Mana para 1 ano.
- +32 de Mana para toda a vida.</t>
  </si>
  <si>
    <t>1 Turno, equivalente a 1 semana da história do objeto ou ser.</t>
  </si>
  <si>
    <t xml:space="preserve">
- O conjurador consegue ver um breve resumo história de um determinado objeto ou ser. Quanto mais, o conjurador quiser ver, maior será o custo do feitiço e mais impreciso será a visão.</t>
  </si>
  <si>
    <t xml:space="preserve">
- +6 de Mana para 1 mês.
- +14 de Mana para 1 ano.
- +30 de Mana para toda a vida.</t>
  </si>
  <si>
    <t xml:space="preserve">
- +4 de Mana para 1 mês.
- +12 de Mana para 1 ano.
- +28 de Mana para toda a vida.</t>
  </si>
  <si>
    <t xml:space="preserve">
- +2 de Mana para 1 mês.
- +10 de Mana para 1 ano.
- +26 de Mana para toda a vida.</t>
  </si>
  <si>
    <t xml:space="preserve">
- + 8 de Mana para 1 ano.
- + 24 de Mana para toda a vida.</t>
  </si>
  <si>
    <t>Absorver Idioma</t>
  </si>
  <si>
    <t xml:space="preserve">
- +32 de Mana para aprender no nível 2.
- +64 de Mana para aprender no nível 3.</t>
  </si>
  <si>
    <t xml:space="preserve">
- O conjurador absorve um idioma por meio do contato com uma pessoa que o domine no nível desejado.</t>
  </si>
  <si>
    <t xml:space="preserve">
- + 30 de Mana para aprender no nível 2.
- + 60 de Mana para aprender no nível 3.</t>
  </si>
  <si>
    <t>4 Minutos</t>
  </si>
  <si>
    <t xml:space="preserve">
- +28 de Mana para aprender no nível 2.
- +56 de Mana para aprender no nível 3.</t>
  </si>
  <si>
    <t>3 Minutos</t>
  </si>
  <si>
    <t xml:space="preserve">
- +26 de Mana para aprender no nível 2.
- +52 de Mana para aprender no nível 3.</t>
  </si>
  <si>
    <t>2 Minutos</t>
  </si>
  <si>
    <t xml:space="preserve">
- +24 de Mana para aprender no nível 2.
- +48 de Mana para aprender no nível 3.</t>
  </si>
  <si>
    <t>Boca Mágica</t>
  </si>
  <si>
    <t>Invocação</t>
  </si>
  <si>
    <t xml:space="preserve">
- O conjurador invoca uma Boca Mágica de 1 Hex. Esta boca é uma extensão do conjurador, permitindo-lhe proferir palavras encantadas e lançar feitiços a distâncias maiores.</t>
  </si>
  <si>
    <t xml:space="preserve">
- A boca tem o mesmo número de pontos de vida que o conjurador.</t>
  </si>
  <si>
    <t>Boca Mágica Invisível</t>
  </si>
  <si>
    <t xml:space="preserve">
- Moldar Mana
- Boca Mágica</t>
  </si>
  <si>
    <t xml:space="preserve">
- O conjurador invoca uma Boca Mágica de 1 Hex invisível. Esta boca é uma extensão do conjurador, permitindo-lhe proferir palavras encantadas e lançar feitiços a distâncias maiores sem ser detectada facilmente.</t>
  </si>
  <si>
    <t xml:space="preserve">
- A boca tem o mesmo número de pontos de vida que o conjurador e só pode ser revelada por um acerto crítico de detecção.</t>
  </si>
  <si>
    <t>Mão Mágica</t>
  </si>
  <si>
    <t xml:space="preserve">
- O conjurador invoca uma Mão Mágica de 1 Hex.
- Esta mão é uma extensão do conjurador, permitindo-lhe manipular objetos e lançar feitiços a distâncias maiores.
</t>
  </si>
  <si>
    <t xml:space="preserve">
- A mão tem o mesmo número de pontos de vida que o conjurador.</t>
  </si>
  <si>
    <t>Mão Mágica Invisível</t>
  </si>
  <si>
    <t xml:space="preserve">
- Moldar Mana
- Mão Mágica</t>
  </si>
  <si>
    <t xml:space="preserve">
- O conjurador invoca uma Mão Mágica de 1 Hex invisível.
- Esta mão é uma extensão do conjurador, permitindo-lhe manipular objetos e lançar feitiços a distâncias maiores sem ser detectada facilmente.
</t>
  </si>
  <si>
    <t xml:space="preserve">
- A mão tem o mesmo número de pontos de vida que o conjurador e só pode ser revelada por um acerto crítico de detecção.</t>
  </si>
  <si>
    <t>Nariz Mágico</t>
  </si>
  <si>
    <t xml:space="preserve">
- O conjurador invoca um Nariz Mágico de 1 Hex.
-Este nariz é uma extensão do conjurador, permitindo-lhe farejar magias e detectar energias a distâncias maiores.
</t>
  </si>
  <si>
    <t xml:space="preserve">
- O nariz tem o mesmo número de pontos de vida que o conjurador.</t>
  </si>
  <si>
    <t>Nariz Mágico Invisível</t>
  </si>
  <si>
    <t xml:space="preserve">
- O conjurador invoca um Nariz Mágico de 1 Hex invisível.
- Este nariz é uma extensão do conjurador, permitindo-lhe farejar magias e detectar energias a distâncias maiores sem ser detectado facilmente. </t>
  </si>
  <si>
    <t xml:space="preserve">
- O nariz tem o mesmo número de pontos de vida que o conjurador e só pode ser revelada por um acerto crítico de detecção ou por um sucesso no feitiço Ver Invisível.</t>
  </si>
  <si>
    <t>Olho Mágico</t>
  </si>
  <si>
    <t xml:space="preserve">
- O conjurador invoca um Olho Mágico de 1 Hex.
- Esse olho, é como uma extensão do conjurador e permite ele lançar feitiços a distâncias maiores.
</t>
  </si>
  <si>
    <t xml:space="preserve">
- O olho tem o mesmo número de pontos de vida que o conjurador.</t>
  </si>
  <si>
    <t>Olho Mágico Invisível</t>
  </si>
  <si>
    <t xml:space="preserve">
- O conjurador invoca um Olho Mágico de 1 Hex invisível.
- Esse olho, é como uma  extensão do conjurador e permite ele lançar feitiços a distâncias maiores.</t>
  </si>
  <si>
    <t xml:space="preserve">
- O olho tem o mesmo número de pontos de vida que o conjurador e só pode ser revelada por um acerto crítico de detecção ou por um sucesso no feitiço Ver Invisível.</t>
  </si>
  <si>
    <t>Orelha Mágica</t>
  </si>
  <si>
    <t xml:space="preserve">
- O conjurador invoca uma Orelha Mágica de 1 Hex.
- Essa orelha, é como uma  extensão do conjurador e permite ele ouvir como estivesse presente no local do feitiço.</t>
  </si>
  <si>
    <t xml:space="preserve">
- A orelha tem o mesmo número de pontos de vida que o conjurador.</t>
  </si>
  <si>
    <t>Orelha Mágica Invisível</t>
  </si>
  <si>
    <t xml:space="preserve">
- O conjurador invoca uma Orelha Mágica de 1 Hex invisível.
- Essa orelha, é como uma  extensão do conjurador e permite ele ouvir como estivesse presente no local do feitiço.</t>
  </si>
  <si>
    <t xml:space="preserve">
- A orelha tem o mesmo número de pontos de vida que o conjurador e só pode ser revelada por um acerto crítico de detecção ou por um sucesso no feitiço Ver Invisível.</t>
  </si>
  <si>
    <t>Parede Arcana</t>
  </si>
  <si>
    <t>Linha</t>
  </si>
  <si>
    <t xml:space="preserve">
- +1 de Mana para cada 1 Hex de comprimento adicional.
- +5 de Mana para cada Turno de duração adicional.</t>
  </si>
  <si>
    <t xml:space="preserve">
- O conjurador invoca uma parede arcana, capaz de parar qualquer projétil.</t>
  </si>
  <si>
    <t xml:space="preserve">
- +1 de Mana para cada 1 Hex de comprimento adicional.
- +4 de Mana para cada Turno de duração adicional.</t>
  </si>
  <si>
    <t xml:space="preserve">
- +1 de Mana para cada 2 Hex de comprimento adicional.
- +3 de Mana para cada Turno de duração adicional.</t>
  </si>
  <si>
    <t xml:space="preserve">
- +1 de Mana para cada 2 Hex de comprimento adicional.
- +2 de Mana para cada Turno de duração adicional.</t>
  </si>
  <si>
    <t>7 Hex</t>
  </si>
  <si>
    <t xml:space="preserve">
- +1 de Mana para cada 3 Hex de comprimento adicional.
- +1 de Mana para cada Turno de duração adicional.</t>
  </si>
  <si>
    <t>Míssil Arcano</t>
  </si>
  <si>
    <t xml:space="preserve">
- +1 de Mana para cada 1 Hex de alcance adicionais.</t>
  </si>
  <si>
    <t xml:space="preserve">
- Projétil arcano que causando 1d6 de dano contusivo. </t>
  </si>
  <si>
    <t xml:space="preserve">
- Projétil arcano que causando 1d6+3 de dano contusivo. </t>
  </si>
  <si>
    <t xml:space="preserve">
- Projétil arcano que causando 1d6+6 de dano contusivo. </t>
  </si>
  <si>
    <t xml:space="preserve">
- Projétil arcano que causando 1d6+9 de dano contusivo. </t>
  </si>
  <si>
    <t xml:space="preserve">
- Projétil arcano que causando 1d6+12 de dano contusivo. </t>
  </si>
  <si>
    <t>Arco Arcano</t>
  </si>
  <si>
    <t xml:space="preserve">
- + 1 de Mana para cada 5 flechas adicionais.</t>
  </si>
  <si>
    <t>Até as flechas acabarem</t>
  </si>
  <si>
    <t xml:space="preserve">
- O conjurador invoca um arco e uma aljava, com 20 flechas, feitos de energia arcana.</t>
  </si>
  <si>
    <t xml:space="preserve">
- O dano do arco deve ser calculado da seguinte forma: 
    - Calcula-se o dano de GDP a partir do IQ (da mesma forma que o dano padrão do personagem baseado em ST).
    -  Soma-se ao valor obtido acima o bônus equivalente a um arco composto de mesmo nível de qualidade.</t>
  </si>
  <si>
    <t>IQ x 7 Hex</t>
  </si>
  <si>
    <t xml:space="preserve">
- O conjurador invoca um arco e uma aljava, com 22 flechas, feitos de energia arcana.</t>
  </si>
  <si>
    <t>IQ x 9 Hex</t>
  </si>
  <si>
    <t xml:space="preserve">
- O conjurador invoca um arco e uma aljava, com 24 flechas, feitos de energia arcana.</t>
  </si>
  <si>
    <t>IQ x 12 Hex</t>
  </si>
  <si>
    <t xml:space="preserve">
- O conjurador invoca um arco e uma aljava, com 26 flechas, feitos de energia arcana.</t>
  </si>
  <si>
    <t>IQ x 15 Hex</t>
  </si>
  <si>
    <t xml:space="preserve">
- O conjurador invoca um arco e uma aljava, com 28 flechas, feitos de energia arcana.</t>
  </si>
  <si>
    <t>Lâmina Arcana</t>
  </si>
  <si>
    <t xml:space="preserve">
- +5 de Mana para cada 1 hora adicional de duração.</t>
  </si>
  <si>
    <t>6 Horas</t>
  </si>
  <si>
    <t xml:space="preserve">
- O conjurador invoca uma arma de combate corpo-a-corpo feita de energia arcana.</t>
  </si>
  <si>
    <t xml:space="preserve">
- O dano da arma deve ser calculada da seguinte forma: 
    - Calcula-se os danos de BAL e GDP a partir do IQ (da mesma forma que o dano padrão do personagem baseado em ST).
    - Soma-se ao valor obtido acima o bônus equivalente a uma arma do mesmo tipo e nível de qualidade.</t>
  </si>
  <si>
    <t xml:space="preserve">
- +4 de Mana para cada 1 hora adicional de duração.</t>
  </si>
  <si>
    <t>9 Horas</t>
  </si>
  <si>
    <t xml:space="preserve">
- +3 de Mana para cada 1 hora adicional de duração.</t>
  </si>
  <si>
    <t>12 Horas</t>
  </si>
  <si>
    <t xml:space="preserve">
- +2 de Mana para cada 1 hora adicional de duração.</t>
  </si>
  <si>
    <t>15 Horas</t>
  </si>
  <si>
    <t xml:space="preserve">
- +1 de Mana para cada 1 hora adicional de duração.</t>
  </si>
  <si>
    <t>24 Horas</t>
  </si>
  <si>
    <t>Cão de Guarda</t>
  </si>
  <si>
    <t>2 Hex</t>
  </si>
  <si>
    <t xml:space="preserve">
- +1 de Mana para cada 1 Hex de raio de alcance adicional.
- +5 de Mana para cada 1 hora adicional de duração.</t>
  </si>
  <si>
    <t xml:space="preserve">
- Lançada em uma área (seguindo os limites do hexágono), esta magia alertará o conjurador sobre qualquer pessoa ou coisa que cruze com intenções hostis.</t>
  </si>
  <si>
    <t xml:space="preserve">
-Se o conjurador estiver dormindo, ele acordará instantaneamente sem ficar atordoado.
- A magia não é destruída se for ativada; ela dura até sua expiração natural.</t>
  </si>
  <si>
    <t xml:space="preserve">
- +1 de Mana para cada 1 Hex de raio de alcance adicional.
- +4 de Mana para cada 1 hora adicional de duração.</t>
  </si>
  <si>
    <t>3 Horas</t>
  </si>
  <si>
    <t xml:space="preserve">
- +1 de Mana para cada 2 Hex de raio de alcance adicionais.
- +3 de Mana para cada 1 hora adicional de duração.</t>
  </si>
  <si>
    <t xml:space="preserve">
- +1 de Mana para cada 2 Hex de raio de alcance adicionais.
- +2 de Mana para cada 1 hora adicional de duração.
</t>
  </si>
  <si>
    <t>9 Hex</t>
  </si>
  <si>
    <t xml:space="preserve">
- +1 de Mana para cada 3 Hex de raio de alcance adicionais.
- +1 de Mana para cada 1 hora adicional de duração.</t>
  </si>
  <si>
    <t>HAG-0000</t>
  </si>
  <si>
    <t>Hagiomancia</t>
  </si>
  <si>
    <t>Iluminar</t>
  </si>
  <si>
    <t>Encantamento</t>
  </si>
  <si>
    <t>Objeto</t>
  </si>
  <si>
    <t>Área de 5 Hex</t>
  </si>
  <si>
    <t xml:space="preserve">
- +1 de Mana para cada 1 Hex de raio de alcançe adicional.
- +1 de Mana para cada 1 minuto adicional.</t>
  </si>
  <si>
    <t xml:space="preserve">
- Ao tocar um objeto, este produz uma luz como a chama de uma tocha.</t>
  </si>
  <si>
    <t xml:space="preserve">
- O conjurador deve utilizar o feitiço em um objeto, é possível mover a fonte de luz como se fosse uma tocha sem a necessidade de concentração.
- Importante se atentar, que o feitiço só pode ser conjurado sobre a superfície de um objeto e não sobre seu volume.</t>
  </si>
  <si>
    <t>Área de 10 Hex</t>
  </si>
  <si>
    <t xml:space="preserve">
- +1 de Mana para cada 1 Hex de raio de alcançe adicional.
 - +1 de Mana para cada 1 minuto adicional.</t>
  </si>
  <si>
    <t>Área de 15 Hex</t>
  </si>
  <si>
    <t xml:space="preserve">
- +1 de Mana para cada 2 Hex de raio de alcançe adicionais.
- +1 de Mana para cada 5 minutos adicionais.</t>
  </si>
  <si>
    <t>Área de 20 Hex</t>
  </si>
  <si>
    <t xml:space="preserve">
- +1 de Mana para cada 2 Hex de raio de alcançe adicionais.
- +1 de Mana para cada 10 minutos adicionais</t>
  </si>
  <si>
    <t>Área de 25 Hex</t>
  </si>
  <si>
    <t xml:space="preserve">
- +1 de Mana para cada 3 Hex de raio de alcançe adicionais.
- +1 de Mana para cada 30 minutos adicionais</t>
  </si>
  <si>
    <t>Flash</t>
  </si>
  <si>
    <t>Debilitação</t>
  </si>
  <si>
    <t>Cone</t>
  </si>
  <si>
    <t xml:space="preserve">
- +5 de Mana para cada 1 fileira de Hex de efeito adicional.</t>
  </si>
  <si>
    <t xml:space="preserve">
- Cria um clarão de luz intenso.
- Isso cegará completamente todos os alvos dentro do alcance do feitiço.
- Os alvos na área de efeito do feitiço, demais tem sua DX reduzida em 3 (o que reduz todas as habilidades baseadas em DX).</t>
  </si>
  <si>
    <t xml:space="preserve">
- Pode afetar qualquer um que esteja de frente para o clarão e com os olhos abertos (decisão do Mestre, caso miniaturas não estejam sendo usadas).
- O próprio conjurador não é afetado se fechar os olhos ao conjurar a magia.
- Os alvos na área de efeito devem fazer um teste de HT para evitar a rerdução de DX.</t>
  </si>
  <si>
    <t xml:space="preserve">
- +4 de Mana para cada 1 fileira de Hex de efeito adicional.</t>
  </si>
  <si>
    <t xml:space="preserve">
- +3 de Mana para cada 1 fileira de Hex de efeito adicional.</t>
  </si>
  <si>
    <t>4 Hex</t>
  </si>
  <si>
    <t>14 Hex</t>
  </si>
  <si>
    <t xml:space="preserve">
- +2 de Mana para cada 1 fileira de Hex de efeito adicional.</t>
  </si>
  <si>
    <t xml:space="preserve">
- +1 de Mana para cada 1 fileira de Hex de efeito adicional.</t>
  </si>
  <si>
    <t>Duelo forçado</t>
  </si>
  <si>
    <t>Controle</t>
  </si>
  <si>
    <t xml:space="preserve">
- +1 de Mana para cada 1 Hex de raio de alcançe adicional.
- +5 de Mana para cada Turno de duração adicional.</t>
  </si>
  <si>
    <t xml:space="preserve">
- O conjurador tenta compelir um alvo para um duelo.
- O alvo deve estar dentro da linha de visão e deve fazer um teste de resistência de IQ. Se falhar, o alvo é atraído para o conjurador, compelido por sua exigência divina. </t>
  </si>
  <si>
    <t xml:space="preserve">
- Durante a duração do efeito, ela terá desvantagem em jogadas de ataque contra criaturas que não sejam o conjurador e deverá fazer um teste de IQ -1 sempre que tentar se mover para um espaço a mais de 5 Hex do conjurador; se for bem-sucedida nesse teste de resistência, esta magia não restringe o movimento do alvo naquele turno.</t>
  </si>
  <si>
    <t xml:space="preserve">
- +1 de Mana para cada 1 Hex de raio de alcançe adicional.
- +4 de Mana para cada Turno de duração adicional.</t>
  </si>
  <si>
    <t xml:space="preserve">
- Durante a duração do efeito, ela terá desvantagem em jogadas de ataque contra criaturas que não sejam o conjurador e deverá fazer um teste de IQ -2 sempre que tentar se mover para um espaço a mais de 5 Hex do conjurador; se for bem-sucedida nesse teste de resistência, esta magia não restringe o movimento do alvo naquele turno.</t>
  </si>
  <si>
    <t xml:space="preserve">
- +1 de Mana para cada 2 Hex de raio de alcançe adicionais.
- +3 de Mana para cada Turno de duração adicional.</t>
  </si>
  <si>
    <t xml:space="preserve">
- Durante a duração do efeito, ela terá desvantagem em jogadas de ataque contra criaturas que não sejam o conjurador e deverá fazer um teste de IQ -3 sempre que tentar se mover para um espaço a mais de 5 Hex do conjurador; se for bem-sucedida nesse teste de resistência, esta magia não restringe o movimento do alvo naquele turno.</t>
  </si>
  <si>
    <t xml:space="preserve">
- +1 de Mana para cada 2 Hex de raio de alcançe adicionais.
- +2 de Mana para cada Turno de duração adicional.
</t>
  </si>
  <si>
    <t xml:space="preserve">
- Durante a duração do efeito, ela terá desvantagem em jogadas de ataque contra criaturas que não sejam o conjurador e deverá fazer um teste de IQ -4 sempre que tentar se mover para um espaço a mais de 5 Hex do conjurador; se for bem-sucedida nesse teste de resistência, esta magia não restringe o movimento do alvo naquele turno.</t>
  </si>
  <si>
    <t xml:space="preserve">
- +1 de Mana para cada 3 Hex de raio de alcançe adicionais.
- +1 de Mana para cada Turno de duração adicional.</t>
  </si>
  <si>
    <t xml:space="preserve">
- Durante a duração do efeito, ela terá desvantagem em jogadas de ataque contra criaturas que não sejam o conjurador e deverá fazer um teste de IQ -5 sempre que tentar se mover para um espaço a mais de 5 Hex do conjurador; se for bem-sucedida nesse teste de resistência, esta magia não restringe o movimento do alvo naquele turno.</t>
  </si>
  <si>
    <t>Subjulgar</t>
  </si>
  <si>
    <t xml:space="preserve">
- Moldar Mana
- Duelo Forçado</t>
  </si>
  <si>
    <t xml:space="preserve">
- +1 de Mana para cada 1 Hex de raio de alcançe adicional.</t>
  </si>
  <si>
    <t>Enquanto o conjurador mantiver contato visual com o alvo.</t>
  </si>
  <si>
    <t xml:space="preserve">
- Uma luz envolve o alvo, pressionando-o suavemente par o chão.
- A presença do conjurador parece imponente e sagrada, como autoridade de um juíz divino.</t>
  </si>
  <si>
    <t xml:space="preserve">
- O alvo deve realizar um teste de vontade; em caso de falha este é compelido a ajoelhar-se diante do conjurador.
- O alvo ainda pode falar, usar magias ou agir com os braços, mas sofre -2 em todas as ações devido a pressão sobrenatural.</t>
  </si>
  <si>
    <t xml:space="preserve">
- O alvo deve realizar um teste de vontade; em caso de falha este é compelido a ajoelhar-se diante do conjurador.
- O alvo ainda pode falar, usar magias ou agir com os braços, mas sofre -3 em todas as ações devido a pressão sobrenatural.</t>
  </si>
  <si>
    <t xml:space="preserve">
- +1 de Mana para cada 2 Hex de raio de alcançe adicionais.</t>
  </si>
  <si>
    <t xml:space="preserve">
- Uma luz envolve o alvo, pressionando-o suavemente par o chão.
- A presença do conjurador parece imponente e sagrada, como autoridade de um juíz divino.
</t>
  </si>
  <si>
    <t xml:space="preserve">
- O alvo deve realizar um teste de vontade; em caso de falha este é compelido a ajoelhar-se diante do conjurador.
- O alvo ainda pode falar ou agir com os braços, mas sofre -4 em todas as ações devido a pressão sobrenatural.</t>
  </si>
  <si>
    <t xml:space="preserve">
- +1 de Mana para cada 2 Hex de raio de alcançe adicionais.
</t>
  </si>
  <si>
    <t xml:space="preserve">
- O alvo deve realizar um teste de vontade; em caso de falha este é compelido a ajoelhar-se diante do conjurador.
- O alvo ainda pode falar ou agir com os braços, mas sofre -5 em todas as ações devido a pressão sobrenatural.</t>
  </si>
  <si>
    <t xml:space="preserve">
- +1 de Mana para cada 3 Hex de raio de alcançe adicionais.</t>
  </si>
  <si>
    <t xml:space="preserve">
- O alvo deve realizar um teste de vontade; em caso de falha este é compelido a ajoelhar-se diante do conjurador.
- O alvo ainda pode fala ou agir com os braços, mas sofre -6 em todas as ações devido a pressão sobrenatural.
- O alvo não pode realizar nenhuma ação hostil contra o conjurador.</t>
  </si>
  <si>
    <t>Arma de Luz</t>
  </si>
  <si>
    <t xml:space="preserve">
- +5 de Mana para cada 1 turno de duração adicional.</t>
  </si>
  <si>
    <t xml:space="preserve">
- Concede essência sagrada aos ataques da arma e dispara um projétil de luz.
- O projétil causa 1d6+2 de dano sagrado, e a essência sagrada adiciona +4 de dano contra zumbis, espíritos, demônios e criaturas da noite.</t>
  </si>
  <si>
    <t xml:space="preserve">
- Para armas corpo-a-corpo o alcance do projétil de luz é igual a x3 o alcance destas.
- Para armas de longa distância o alcance do projétil de luz é igual ao ½ alcance destas.</t>
  </si>
  <si>
    <t xml:space="preserve">
- +4 de Mana para cada 1 turno de duração adicional.</t>
  </si>
  <si>
    <t xml:space="preserve">
- Concede essência sagrada aos ataques da arma e dispara um projétil de luz.
- O projétil causa 1d6+4 de dano sagrado, e a essência sagrada adiciona +5 de dano contra zumbis, espíritos, demônios e criaturas da noite.</t>
  </si>
  <si>
    <t xml:space="preserve">
- +3 de Mana para cada 1 turno de duração adicional.</t>
  </si>
  <si>
    <t xml:space="preserve">
- Concede essência sagrada aos ataques da arma e dispara um projétil de luz.
- O projétil causa 1d6+6 de dano sagrado, e a essência sagrada adiciona +6 de dano contra zumbis, espíritos, demônios e criaturas da noite.</t>
  </si>
  <si>
    <t xml:space="preserve">
- +2 de Mana para cada 1 turno de duração adicional.</t>
  </si>
  <si>
    <t xml:space="preserve">
- Concede essência sagrada aos ataques da arma e dispara um projétil de luz.
- O projétil causa 1d6+8 de dano sagrado, e a essência sagrada adiciona +7 de dano contra zumbis, espíritos, demônios e criaturas da noite.</t>
  </si>
  <si>
    <t xml:space="preserve">
- +1 de Mana para cada 1 turno de duração adicional.</t>
  </si>
  <si>
    <t xml:space="preserve">
- Concede essência sagrada aos ataques da arma e dispara um projétil de luz.
- O projétil causa 1d6 de dano sagrado, e a essência sagrada adiciona +3 de dano contra zumbis, espíritos, demônios e criaturas da noite.</t>
  </si>
  <si>
    <t>Defensores da Fé</t>
  </si>
  <si>
    <t xml:space="preserve">
- Moldar Mana
- Arma de Luz</t>
  </si>
  <si>
    <t xml:space="preserve">
- Concede essência sagrada aos ataques da armas de todos os companheiros dentro da Área.
- A essência sagrada adiciona +3 de dano contra zumbis, espíritos, demônios e criaturas da noite.</t>
  </si>
  <si>
    <t xml:space="preserve">
- Concede essência sagrada aos ataques da armas de todos os companheiros dentro da Área.
- A essência sagrada adiciona +4 de dano contra zumbis, espíritos, demônios e criaturas da noite.</t>
  </si>
  <si>
    <t xml:space="preserve">
- Concede essência sagrada aos ataques da armas de todos os companheiros dentro da Área.
- A essência sagrada adiciona +5 de dano contra zumbis, espíritos, demônios e criaturas da noite.</t>
  </si>
  <si>
    <t>Banir o Mal</t>
  </si>
  <si>
    <t xml:space="preserve">
- Cria um domo que impede que criaturas dos tipo zumbi, espírito, demônio e criaturas da noite de adentrem na área.
- Criaturas que estejam dentro da área sofrem 1d6 de dano e são compelidas a fugir.</t>
  </si>
  <si>
    <t xml:space="preserve">
- Um ritual sagrado, que leva 1 hora para ser realizado, pode ser feito pelo conjurador, protegendo uma determinada área, santificando-a durante um número de horas, para cada hora 2 de de Mana é gasto.</t>
  </si>
  <si>
    <t xml:space="preserve">
- Cria um domo que impede que criaturas dos tipo zumbi, espírito, demônio e criaturas da noite de adentrem na área.
- Criaturas que estejam dentro da área sofrem 1d6+3 de dano e são compelidas a fugir.</t>
  </si>
  <si>
    <t xml:space="preserve">
- Cria um domo que impede que criaturas dos tipo zumbi, espírito, demônio e criaturas da noite de adentrem na área.
- Criaturas que estejam dentro da área sofrem 1d6+6 de dano e são compelidas a fugir.</t>
  </si>
  <si>
    <t xml:space="preserve">
- Cria um domo que impede que criaturas dos tipo zumbi, espírito, demônio e criaturas da noite de adentrem na área.
- Criaturas que estejam dentro da área sofrem 1d6+9 de dano e são compelidas a fugir.</t>
  </si>
  <si>
    <t xml:space="preserve">
- Cria um domo que impede que criaturas dos tipo zumbi, espírito, demônio e criaturas da noite de adentrem na área.
- Criaturas que estejam dentro da área sofrem 1d6+12 de dano e são compelidas a fugir.</t>
  </si>
  <si>
    <t>Mãos Curativas</t>
  </si>
  <si>
    <t>Restauração</t>
  </si>
  <si>
    <t>- Moldar Mana</t>
  </si>
  <si>
    <t xml:space="preserve">
- +5 de Mana para cada +1 de bônus de cura adicional.</t>
  </si>
  <si>
    <t xml:space="preserve">
- O conjurador cura o alvo em 1d6 ao tocá-lo.
</t>
  </si>
  <si>
    <t xml:space="preserve">
- Não cura doenças nem neutraliza venenos, mas pode curar danos causados ​​por estes.
- Possui uma penalidade cumulativa de -1 ao ser conjurada em alguém que já recebeu esta magia anteriormente no mesmo dia.</t>
  </si>
  <si>
    <t xml:space="preserve">
- +4 de Mana para cada +1 de bônus de cura adicional.</t>
  </si>
  <si>
    <t xml:space="preserve">
- O conjurador cura o alvo em 1d6+2 ao tocá-lo.
</t>
  </si>
  <si>
    <t xml:space="preserve">
- +3 de Mana para cada +1 de bônus de cura adicional.</t>
  </si>
  <si>
    <t xml:space="preserve">
- O conjurador cura o alvo em 1d6+4 ao tocá-lo.
</t>
  </si>
  <si>
    <t xml:space="preserve">
- +2 de Mana para cada +1 de bônus de cura adicional.</t>
  </si>
  <si>
    <t xml:space="preserve">
- O conjurador cura o alvo em 1d6+6 ao tocá-lo.
</t>
  </si>
  <si>
    <t xml:space="preserve">
- +1 de Mana para cada +1 de bônus de cura adicional.</t>
  </si>
  <si>
    <t xml:space="preserve">
- O conjurador cura o alvo em 1d6+8 ao tocá-lo.
</t>
  </si>
  <si>
    <t>Cura Projetada</t>
  </si>
  <si>
    <t xml:space="preserve">
- Moldar Mana
- Mãos Curativas</t>
  </si>
  <si>
    <t xml:space="preserve">
- +1 de Mana para cada 1 Hex de raio de efeito adicional.
- +5 de Mana para cada +1 de bônus de cura adicional.</t>
  </si>
  <si>
    <t xml:space="preserve">
- O conjurador cura o alvo em 1d6 rezando próximo a ele.
</t>
  </si>
  <si>
    <t xml:space="preserve">
- +1 de Mana para cada 1 Hex de raio de efeito adicional.
- +4 de Mana para cada +1 de bônus de cura adicional.</t>
  </si>
  <si>
    <t xml:space="preserve">
- O conjurador cura o alvo em 1d6+2 rezando próximo a ele.
</t>
  </si>
  <si>
    <t xml:space="preserve">
- +1 de Mana para cada 2 Hex de raio de efeito adicional.
- +3 de Mana para cada +1 de bônus de cura adicional.</t>
  </si>
  <si>
    <t xml:space="preserve">
- O conjurador cura o alvo em 1d6+4 rezando próximo a ele.
</t>
  </si>
  <si>
    <t xml:space="preserve">
- +1 de Mana para cada 2 Hex de raio de efeito adicional.
- +2 de Mana para cada +1 de bônus de cura adicional.</t>
  </si>
  <si>
    <t xml:space="preserve">
- O conjurador cura o alvo em 1d6+6 rezando próximo a ele.
</t>
  </si>
  <si>
    <t xml:space="preserve">
- +1 de Mana para cada 3 Hex de raio de efeito adicional.
- +1 de Mana para cada +1 de bônus de cura adicional.</t>
  </si>
  <si>
    <t xml:space="preserve">
- O conjurador cura o alvo em 1d6+8 rezando próximo a ele.
</t>
  </si>
  <si>
    <t>Cura Sagrada</t>
  </si>
  <si>
    <t xml:space="preserve">
- +5 de Mana para cada 1 Hex de raio de alcançe adicional.</t>
  </si>
  <si>
    <t xml:space="preserve">
- O conjurador cura todos os alvos a sua volta em 1d6 rezando próximo a eles.
</t>
  </si>
  <si>
    <t xml:space="preserve">
- +4 de Mana para cada 1 Hex de raio de alcançe adicional.</t>
  </si>
  <si>
    <t xml:space="preserve">
- O conjurador cura todos os alvos a sua volta em 1d6+2 rezando próximo a eles.
</t>
  </si>
  <si>
    <t xml:space="preserve">
- +3 de Mana para cada 2 Hex de raio de alcançe adicionais.</t>
  </si>
  <si>
    <t xml:space="preserve">
- O conjurador cura todos os alvos a sua volta em 1d6+4 rezando próximo a eles.
</t>
  </si>
  <si>
    <t xml:space="preserve">
- +2 de Mana para cada 2 Hex de raio de alcançe adicionais.
</t>
  </si>
  <si>
    <t xml:space="preserve">
- O conjurador cura todos os alvos a sua volta em 1d6+6 rezando próximo a eles.
</t>
  </si>
  <si>
    <t xml:space="preserve">
- O conjurador cura todos os alvos a sua volta em 1d6+8 rezando próximo a eles.
</t>
  </si>
  <si>
    <t>Lágrimas da Negação</t>
  </si>
  <si>
    <t xml:space="preserve">
- O conjurador é involvido por uma luz de mesma intensidade e o efeito permanece até que seus pontos de vida cheguem a zero pela primeira vez.
- Se os pontos de vida do conjurador chegarem a 0, um clarão de luz cega todos em uma área de 2 Hex e o este é curado em 1d6.</t>
  </si>
  <si>
    <t xml:space="preserve">
- Essa magia só pode ser utilizada 1 vez por dia.</t>
  </si>
  <si>
    <t xml:space="preserve">
- O conjurador é involvido por uma luz de mesma intensidade e o efeito permanece até que seus pontos de vida cheguem a zero pela primeira vez.
- Se os pontos de vida do conjurador chegarem a 0, um clarão de luz cega todos em uma área de 2 Hex e o este é curado em 1d6+6.</t>
  </si>
  <si>
    <t xml:space="preserve">
- O conjurador é involvido por uma luz de mesma intensidade e o efeito permanece até que seus pontos de vida cheguem a zero pela primeira vez.
- Se os pontos de vida do conjurador chegarem a 0, um clarão de luz cega todos em uma área de 3 Hex e o este é curado em 1d6+12.</t>
  </si>
  <si>
    <t>18 Horas</t>
  </si>
  <si>
    <t xml:space="preserve">
- O conjurador é involvido por uma luz de mesma intensidade e o efeito permanece até que seus pontos de vida cheguem a zero pela primeira vez.
- Se os pontos de vida do conjurador chegarem a 0, um clarão de luz cega todos em uma área de 3 Hex e o este é curado em 1d6+18.</t>
  </si>
  <si>
    <t xml:space="preserve">
- O conjurador é involvido por uma luz de mesma intensidade e o efeito permanece até que seus pontos de vida cheguem a zero pela primeira vez.
- Se os pontos de vida do conjurador chegarem a 0, um clarão de luz cega todos em uma área de 5 Hex e o este é curado em 1d6+24.</t>
  </si>
  <si>
    <t>Parede de Luz</t>
  </si>
  <si>
    <t xml:space="preserve">
- Cria uma parede que impede a passagem e ataques de criaturas do tipos zumbi, espírito, demônio e craituras da noite.</t>
  </si>
  <si>
    <t xml:space="preserve">
- A parede é inútil contra objetos físicos portados pelas criaturas afetadas por este feitiço, ou seja, um golpe de espada feito por uma dessas criaturas, no qual somente a espada passaria a parede atinge seu alvo normalmente.</t>
  </si>
  <si>
    <t>Lança de Luz</t>
  </si>
  <si>
    <t xml:space="preserve">
- +1 de Mana para cada 1 Hex de alcançe adicionais.</t>
  </si>
  <si>
    <t xml:space="preserve">
- Ao invocar os poderes sagrados, o conjurador concentra sua energia em suas mãos, criando uma lança de pura fé.
- Quando lançada, a lâmina corta o ar com grande precisão, deixando um rastro brilhante que ilumina os arredores e causando 1d6 de dano sagrado ao alvo.</t>
  </si>
  <si>
    <t xml:space="preserve">
- Ao invocar os poderes sagrados, o conjurador concentra sua energia em suas mãos, criando uma lança de pura fé.
- Quando lançada, a lâmina corta o ar com grande precisão, deixando um rastro brilhante que ilumina os arredores e causando 1d6+3 de dano sagrado ao alvo.</t>
  </si>
  <si>
    <t xml:space="preserve">
- +1 de Mana para cada 2 Hex de alcançe adicionais.</t>
  </si>
  <si>
    <t xml:space="preserve">
- Ao invocar os poderes sagrados, o conjurador concentra sua energia em suas mãos, criando uma lança de pura fé.
- Quando lançada, a lâmina corta o ar com grande precisão, deixando um rastro brilhante que ilumina os arredores e causando 1d6+6 de dano sagrado ao alvo.</t>
  </si>
  <si>
    <t xml:space="preserve">
- Ao invocar os poderes sagrados, o conjurador concentra sua energia em suas mãos, criando uma lança de pura fé.
- Quando lançada, a lâmina corta o ar com grande precisão, deixando um rastro brilhante que ilumina os arredores e causando 1d6+9 de dano sagrado ao alvo.</t>
  </si>
  <si>
    <t xml:space="preserve">
- +1 de Mana para cada 3 Hex de alcançe adicionais.</t>
  </si>
  <si>
    <t xml:space="preserve">
- Ao invocar os poderes sagrados, o conjurador concentra sua energia em suas mãos, criando uma lança de pura fé.
- Quando lançada, a lâmina corta o ar com grande precisão, deixando um rastro brilhante que ilumina os arredores e causando 1d6+12 de dano sagrado ao alvo.</t>
  </si>
  <si>
    <t>Lança de Luz Purificadora</t>
  </si>
  <si>
    <t xml:space="preserve">
- Moldar Mana
- Lança de Luz</t>
  </si>
  <si>
    <t xml:space="preserve">
- Ao atingir o alvo, ela o perfura, causando dano sagrado em uma linha de 2 Hex a partir do primeiro alvo.</t>
  </si>
  <si>
    <t xml:space="preserve">
- Ao atingir o alvo, ela o perfura, causando dano sagrado em uma linha de 3 Hex a partir do primeiro alvo.</t>
  </si>
  <si>
    <t xml:space="preserve">3 Hex </t>
  </si>
  <si>
    <t xml:space="preserve">
- Ao atingir o alvo, ela o perfura, causando dano sagrado em uma linha de 5 Hex a partir do primeiro alvo.</t>
  </si>
  <si>
    <t>Lança de Luz Inquisitora</t>
  </si>
  <si>
    <t xml:space="preserve">
- Ao atingir o alvo, ela explode, causando dano sagrado em uma área de 2 Hex em torno do alvo.
</t>
  </si>
  <si>
    <t xml:space="preserve">
- Ao atingir o alvo, ela explode, causando dano sagrado em uma área de 3 Hex em torno do alvo.
</t>
  </si>
  <si>
    <t xml:space="preserve">
- Ao atingir o alvo, ela explode, causando dano sagrado em uma área de 5 Hex em torno do alvo.
</t>
  </si>
  <si>
    <t>Coroa das Lanças de Luz Sagradas</t>
  </si>
  <si>
    <t xml:space="preserve">
- Ao invocar os poderes sagrados, o conjurador concentra sua energia ao seu redor, criando um anel de 3 lanças de pura fé ao seu redor.
- Quando lançada, as lâminas cortam o ar com grande precisão, deixando um rastro brilhante que ilumina os arredores e causando 1d6 de dano sagrado ao alvo.</t>
  </si>
  <si>
    <t xml:space="preserve">
- Ao lançar o feitiço o conjurador pode escolher se ao atingir o alvo, ela o perfura ou explode em área, causando dano sagrado em uma linha de 3 Hex a partir do primeiro alvo ou em uma área de 2 Hex respectivamente.</t>
  </si>
  <si>
    <t xml:space="preserve">
- Ao invocar os poderes sagrados, o conjurador concentra sua energia ao seu redor, criando um anel de 3 lanças de pura fé ao seu redor.
- Quando lançada, as lâminas cortam o ar com grande precisão, deixando um rastro brilhante que ilumina os arredores e causando 1d6+3 de dano sagrado ao alvo.</t>
  </si>
  <si>
    <t xml:space="preserve">
- Ao invocar os poderes sagrados, o conjurador concentra sua energia ao seu redor, criando um anel de 5 lanças de pura fé ao seu redor.
- Quando lançada, as lâminas cortam o ar com grande precisão, deixando um rastro brilhante que ilumina os arredores e causando 1d6+6 de dano sagrado ao alvo.</t>
  </si>
  <si>
    <t xml:space="preserve">
- Ao lançar o feitiço o conjurador pode escolher se ao atingir o alvo, ela o perfura ou explode em área, causando dano sagrado em uma linha de 5 Hex a partir do primeiro alvo ou em uma área de 3 Hex respectivamente.</t>
  </si>
  <si>
    <t xml:space="preserve">
- Ao invocar os poderes sagrados, o conjurador concentra sua energia ao seu redor, criando um anel de 5 lanças de pura fé ao seu redor.
- Quando lançada, as lâminas cortam o ar com grande precisão, deixando um rastro brilhante que ilumina os arredores e causando 1d6+9 de dano sagrado ao alvo.</t>
  </si>
  <si>
    <t xml:space="preserve">
- Ao invocar os poderes sagrados, o conjurador concentra sua energia ao seu redor, criando um anel de 7 lanças de pura fé ao seu redor.
- Quando lançada, as lâminas cortam o ar com grande precisão, deixando um rastro brilhante que ilumina os arredores e causando 1d6+12 de dano sagrado ao alvo.</t>
  </si>
  <si>
    <t xml:space="preserve">
- Ao lançar o feitiço o conjurador pode escolher se ao atingir o alvo, ela o perfura ou explode em área, causando dano sagrado em uma linha de 7 Hex a partir do primeiro alvo ou em uma área de 5 Hex respectivamente.</t>
  </si>
  <si>
    <t>Castigo Abrasador</t>
  </si>
  <si>
    <t xml:space="preserve">
- +5 de Mana para cada Turno de duração adicional.</t>
  </si>
  <si>
    <t xml:space="preserve">
- Na próxima vez que o conjurador acertar um alvo com um ataque corpo a corpo durante a duração da magia, a arma brilhará com uma intensidade incandescente, e o ataque causará 1d6 de dano de fogo sagrado adicional ao alvo, fazendo com que o alvo se incendeie.</t>
  </si>
  <si>
    <t xml:space="preserve">
- No início de cada um de seus turnos até o término da magia, o alvo deve fazer um teste de resistência de HT -1. Em caso de falha, ele sofre 1d6+1 de dano de fogo sagrado. Em caso de sucesso, a magia termina.</t>
  </si>
  <si>
    <t xml:space="preserve">
- +4 de Mana para cada Turno de duração adicional.</t>
  </si>
  <si>
    <t xml:space="preserve">
- Na próxima vez que o conjurador acertar um alvo com um ataque corpo a corpo durante a duração da magia, a arma brilhará com uma intensidade incandescente, e o ataque causará 1d6+3 de dano de fogo sagrado adicional ao alvo, fazendo com que o alvo se incendeie.</t>
  </si>
  <si>
    <t xml:space="preserve">
- No início de cada um de seus turnos até o término da magia, o alvo deve fazer um teste de resistência de HT -2. Em caso de falha, ele sofre 1d6+2 de dano de fogo sagrado. Em caso de sucesso, a magia termina.</t>
  </si>
  <si>
    <t xml:space="preserve">
- +3 de Mana para cada Turno de duração adicional.</t>
  </si>
  <si>
    <t xml:space="preserve">
- Na próxima vez que o conjurador acertar um alvo com um ataque corpo a corpo durante a duração da magia, a arma brilhará com uma intensidade incandescente, e o ataque causará 1d6+6 de dano de fogo sagrado adicional ao alvo, fazendo com que o alvo se incendeie.</t>
  </si>
  <si>
    <t xml:space="preserve">
- No início de cada um de seus turnos até o término da magia, o alvo deve fazer um teste de resistência de HT -3. Em caso de falha, ele sofre 1d6+3 de dano de fogo sagrado. Em caso de sucesso, a magia termina.</t>
  </si>
  <si>
    <t xml:space="preserve">
- +2 de Mana para cada Turno de duração adicional.
</t>
  </si>
  <si>
    <t xml:space="preserve">
- Na próxima vez que o conjurador acertar um alvo com um ataque corpo a corpo durante a duração da magia, a arma brilhará com uma intensidade incandescente, e o ataque causará 1d6+9 de dano de fogo sagrado adicional ao alvo, fazendo com que o alvo se incendeie.</t>
  </si>
  <si>
    <t xml:space="preserve">
- No início de cada um de seus turnos até o término da magia, o alvo deve fazer um teste de resistência de HT -4. Em caso de falha, ele sofre 1d6+4 de dano de fogo sagrado. Em caso de sucesso, a magia termina.</t>
  </si>
  <si>
    <t xml:space="preserve">
- +1 de Mana para cada Turno de duração adicional.</t>
  </si>
  <si>
    <t xml:space="preserve">
- Na próxima vez que o conjurador acertar um alvo com um ataque corpo a corpo durante a duração da magia, a arma brilhará com uma intensidade incandescente, e o ataque causará 1d6+12 de dano de fogo sagrado adicional ao alvo, fazendo com que o alvo se incendeie.</t>
  </si>
  <si>
    <t xml:space="preserve">
- No início de cada um de seus turnos até o término da magia, o alvo deve fazer um teste de resistência de HT -5. Em caso de falha, ele sofre 1d6+5 de dano de fogo sagrado. Em caso de sucesso, a magia termina.</t>
  </si>
  <si>
    <t>Espadas da Luz Reveladora</t>
  </si>
  <si>
    <t xml:space="preserve">
- +16 de Mana para cada 1 Hex de raio de efeito adicional.</t>
  </si>
  <si>
    <t>1d6+1 Turnos</t>
  </si>
  <si>
    <t xml:space="preserve">
- O conjurador invoca 6 espadas sagradas que descem do céu e travam os alvoss no local, os alvoss ficarão imóveis e incapazes de reagir, se ao final do período o feitiço não tiver sido dissipado os alvoss serão castigados com dano sagrado igual 1d6 por número de turnos que os alvoss ficaram presos.</t>
  </si>
  <si>
    <t xml:space="preserve">
- O feitiço só pode ser dissípado por magias de dissipação ou caso ao menos um dos alvos seja um seguidor veemente da mesma fé que o conjurador.</t>
  </si>
  <si>
    <t xml:space="preserve">
- +12 de Mana para cada 1 Hex de raio de efeito adicional.</t>
  </si>
  <si>
    <t>1d6+2 Turnos</t>
  </si>
  <si>
    <t xml:space="preserve">
- O conjurador invoca 6 espadas sagradas que descem do céu e travam os alvoss no local, os alvoss ficarão imóveis e incapazes de reagir, se ao final do período o feitiço não tiver sido dissipado os alvoss serão castigados com dano sagrado igual 1d6+3 por número de turnos que os alvoss ficaram presos.</t>
  </si>
  <si>
    <t xml:space="preserve">
- +10 de Mana para cada 1 Hex de raio de efeito adicional.</t>
  </si>
  <si>
    <t>1d6+3 Turnos</t>
  </si>
  <si>
    <t xml:space="preserve">
- O conjurador invoca 6 espadas sagradas que descem do céu e travam os alvoss no local, os alvoss ficarão imóveis e incapazes de reagir, se ao final do período o feitiço não tiver sido dissipado os alvoss serão castigados com dano sagrado igual 1d6+6 por número de turnos que os alvoss ficaram presos.</t>
  </si>
  <si>
    <t xml:space="preserve">
- +8 de Mana para cada 1 Hex de raio de efeito adicional.</t>
  </si>
  <si>
    <t>1d6+4 Turnos</t>
  </si>
  <si>
    <t xml:space="preserve">
- O conjurador invoca 6 espadas sagradas que descem do céu e travam os alvoss no local, os alvoss ficarão imóveis e incapazes de reagir, se ao final do período o feitiço não tiver sido dissipado os alvoss serão castigados com dano sagrado igual 1d6+9 por número de turnos que os alvoss ficaram presos.</t>
  </si>
  <si>
    <t xml:space="preserve">
- +4 de Mana para cada 1 Hex de raio de efeito adicional.</t>
  </si>
  <si>
    <t>1d6+6 Turnos</t>
  </si>
  <si>
    <t xml:space="preserve">
- O conjurador invoca 6 espadas sagradas que descem do céu e travam os alvoss no local, os alvoss ficarão imóveis e incapazes de reagir, se ao final do período o feitiço não tiver sido dissipado os alvoss serão castigados com dano sagrado igual 1d6+12 por número de turnos que os alvoss ficaram presos.</t>
  </si>
  <si>
    <t>HEM-0000</t>
  </si>
  <si>
    <t>Hemomancia</t>
  </si>
  <si>
    <t>Moldar Sangue</t>
  </si>
  <si>
    <t xml:space="preserve">
- O conjurador aprende a perceber e manipular o sangue como um meio arcano.
- Permite sentir a presença de sangue vivo em um alcance muito curto (mesmo sem visão direta).
- Habilita o controle rudimentar do próprio sangue, permitindo pequenas alterações de fluxo, coagulação ou circulação.
- Esse feitiço é utilizado como base para qualquer manipulação hemomântica.
- Sempre que um feitiço de Hemomancia exigir controle fino ou disputa, utiliza-se Moldar Sangue como teste auxiliar.</t>
  </si>
  <si>
    <t xml:space="preserve">
- Este feitiço NÃO substitui Moldar Mana, mas atua como uma camada adicional de especialização.
- O NH de feitiços de Hemomancia é limitado tanto por Moldar Mana quanto por Moldar Sangue (use o menor valor entre os dois).
- Sem este feitiço, o conjurador não consegue afetar sangue diretamente, mesmo que possua Moldar Mana.
- Em criaturas sem sangue (ou equivalentes), este feitiço não fornece benefício.
- Pode causar leve desconforto ao ser utilizado repetidamente no próprio corpo (a critério do Mestre).</t>
  </si>
  <si>
    <t>Sentir Sangue</t>
  </si>
  <si>
    <t xml:space="preserve">
- Moldar Mana
- Moldar Sangue</t>
  </si>
  <si>
    <t xml:space="preserve">
- O conjurador consegue sentir a presença de Sangue em qualquer objeto ou ser ao seu redor.</t>
  </si>
  <si>
    <t>Jato de Sangue</t>
  </si>
  <si>
    <t xml:space="preserve">
- O conjurador expele um jato de sangue sob alta pressão em formato de cone à sua frente.
- Todas as criaturas dentro da área devem realizar um teste de DX.
- Em caso de falha, sofrem dano leve e ficam desestabilizadas, recebendo -2 em testes de vontade até o próximo turno.
- Em caso de falha crítica, além dos efeitos acima, o alvo fica cego temporariamente por 1 turno devido ao sangue nos olhos.
- O sangue pode ser originado do próprio conjurador ou de fontes disponíveis muito próximas (critério do mestre).
- O ataque não distingue aliados de inimigos.</t>
  </si>
  <si>
    <t xml:space="preserve">
- Caso utilize o próprio sangue, o conjurador sofre 4 ponto de danos (não redutível).
- Superfícies atingidas pelo cone tornam-se escorregadias por 2 turnos, um teste de DX -1 deve ser feito; em caso de falha o alvo escorrega e cai.
- Criaturas sem visão não sofrem o efeito de cegueira.
- O uso recorrente pode gerar sinais visíveis de exaustão (palidez, sangramento leve, etc.).
</t>
  </si>
  <si>
    <t xml:space="preserve">
- Caso utilize o próprio sangue, o conjurador sofre 3 ponto de danos (não redutível).
- Superfícies atingidas pelo cone tornam-se escorregadias por 2 turnos, um teste de DX -1 deve ser feito; em caso de falha o alvo escorrega e cai.
- Criaturas sem visão não sofrem o efeito de cegueira.
- O uso recorrente pode gerar sinais visíveis de exaustão (palidez, sangramento leve, etc.).
</t>
  </si>
  <si>
    <t xml:space="preserve">
- O conjurador expele um jato de sangue sob alta pressão em formato de cone à sua frente.
- Todas as criaturas dentro da área devem realizar um teste de DX.
- Em caso de falha, sofrem dano leve e ficam desestabilizadas, recebendo -3 em testes de vontade até o próximo turno.
- Em caso de falha crítica, além dos efeitos acima, o alvo fica cego temporariamente por 1 turno devido ao sangue nos olhos.
- O sangue pode ser originado do próprio conjurador ou de fontes disponíveis muito próximas (critério do mestre).
- O ataque não distingue aliados de inimigos.</t>
  </si>
  <si>
    <t xml:space="preserve">
- Caso utilize o próprio sangue, o conjurador sofre 2 pontos de danos (não redutível).
- Superfícies atingidas pelo cone tornam-se escorregadias por 3 turnos, um teste de DX -2 deve ser feito; em caso de falha o alvo escorrega e cai.
- Criaturas sem visão não sofrem o efeito de cegueira.
- O uso recorrente pode gerar sinais visíveis de exaustão (palidez, sangramento leve, etc.).
</t>
  </si>
  <si>
    <t xml:space="preserve">
- Caso utilize o próprio sangue, o conjurador sofre 1 ponto de dano (não redutível).
- Superfícies atingidas pelo cone tornam-se escorregadias por 2 turnos, um teste de DX -2 deve ser feito; em caso de falha o alvo escorrega e cai.
- Criaturas sem visão não sofrem o efeito de cegueira.
- O uso recorrente pode gerar sinais visíveis de exaustão (palidez, sangramento leve, etc.).
</t>
  </si>
  <si>
    <t xml:space="preserve">
- O conjurador expele um jato de sangue sob alta pressão em formato de cone à sua frente.
- Todas as criaturas dentro da área devem realizar um teste de DX.
- Em caso de falha, sofrem dano leve e ficam desestabilizadas, recebendo -5 em testes de vontade até o próximo turno.
- Em caso de falha crítica, além dos efeitos acima, o alvo fica cego temporariamente por 1 turno devido ao sangue nos olhos.
- O sangue pode ser originado do próprio conjurador ou de fontes disponíveis muito próximas (critério do mestre).
- O ataque não distingue aliados de inimigos.</t>
  </si>
  <si>
    <t xml:space="preserve">
- Superfícies atingidas pelo cone tornam-se escorregadias por 3 turnos, um teste de DX -3 deve ser feito; em caso de falha o alvo escorrega e cai.
- Criaturas sem visão não sofrem o efeito de cegueira.
- O uso recorrente pode gerar sinais visíveis de exaustão (palidez, sangramento leve, etc.).
</t>
  </si>
  <si>
    <t>Névoa de Sangue</t>
  </si>
  <si>
    <t xml:space="preserve">
- O conjurador dispersa sangue no ar, criando uma névoa densa e rubra em uma área específica.
- A névoa obscurece a visão, impondo -2 em testes de percepção e ataques à distância contra alvos dentro ou através da área.
- Criaturas dentro da névoa sofrem leve desconforto, recebendo -1 em testes físicos devido à interferência sensorial.
- A névoa pode ser utilizada como fonte de sangue para outros feitiços de Hemomancia sem custo adicional.
- O efeito se dissipa naturalmente ao fim da duração ou pode ser dispersado por vento forte (a critério do Mestre).</t>
  </si>
  <si>
    <t xml:space="preserve">
- Caso não haja sangue disponível no ambiente, o conjurador pode usar o próprio, sofrendo 4 pontos de dano (não redutível).
- A névoa afeta aliados e inimigos igualmente.
- Criaturas sem visão ou que não dependam de sentidos visuais não sofrem penalidades de percepção, mas ainda podem sofrer os demais efeitos.
- Interage diretamente com outros feitiços da escola.
</t>
  </si>
  <si>
    <t xml:space="preserve">
- Caso não haja sangue disponível no ambiente, o conjurador pode usar o próprio, sofrendo 3 pontos de dano (não redutível).
- A névoa afeta aliados e inimigos igualmente.
- Criaturas sem visão ou que não dependam de sentidos visuais não sofrem penalidades de percepção, mas ainda podem sofrer os demais efeitos.
- Interage diretamente com outros feitiços da escola.
</t>
  </si>
  <si>
    <t xml:space="preserve">
- Caso não haja sangue disponível no ambiente, o conjurador pode usar o próprio, sofrendo 2 pontos de dano (não redutível).
- A névoa afeta aliados e inimigos igualmente.
- Criaturas sem visão ou que não dependam de sentidos visuais não sofrem penalidades de percepção, mas ainda podem sofrer os demais efeitos.
- Interage diretamente com outros feitiços da escola.
</t>
  </si>
  <si>
    <t xml:space="preserve">
- Caso não haja sangue disponível no ambiente, o conjurador pode usar o próprio, sofrendo 1 ponto de dano (não redutível).
- A névoa afeta aliados e inimigos igualmente.
- Criaturas sem visão ou que não dependam de sentidos visuais não sofrem penalidades de percepção, mas ainda podem sofrer os demais efeitos.
- Interage diretamente com outros feitiços da escola.
</t>
  </si>
  <si>
    <t>6 Hex</t>
  </si>
  <si>
    <t xml:space="preserve">
- A névoa afeta aliados e inimigos igualmente.
- Criaturas sem visão ou que não dependam de sentidos visuais não sofrem penalidades de percepção, mas ainda podem sofrer os demais efeitos.
- Interage diretamente com outros feitiços da escola.
</t>
  </si>
  <si>
    <t>Cristalizar Sangue</t>
  </si>
  <si>
    <t xml:space="preserve">
- O conjurador força o sangue a se cristalizar instantaneamente, seja dentro de uma criatura ou fora dela.
- Uso Interno:
    - Ao alvejar uma criatura viva, o sangue do alvo se cristaliza parcialmente em seu interior, causando 1d6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+1, GDP +0).
</t>
  </si>
  <si>
    <t xml:space="preserve">
- Caso utilize o próprio sangue para o uso externo, o conjurador sofre 4 ponto de dano (não redutível).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</si>
  <si>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 xml:space="preserve">
- O conjurador força o sangue a se cristalizar instantaneamente, seja dentro de uma criatura ou fora dela.
- Uso Interno:
    - Ao alvejar uma criatura viva, o sangue do alvo se cristaliza parcialmente em seu interior, causando 1d6+2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+1, GDP +1).
</t>
  </si>
  <si>
    <t xml:space="preserve">
- Caso utilize o próprio sangue para o uso externo, o conjurador sofre 3 ponto de dano (não redutível).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</si>
  <si>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 xml:space="preserve">
- O conjurador força o sangue a se cristalizar instantaneamente, seja dentro de uma criatura ou fora dela.
- Uso Interno:
    - Ao alvejar uma criatura viva, o sangue do alvo se cristaliza parcialmente em seu interior, causando 1d6+4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+2, GDP +1).
</t>
  </si>
  <si>
    <t xml:space="preserve">
- Caso utilize o próprio sangue para o uso externo, o conjurador sofre 2 ponto de dano (não redutível).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</si>
  <si>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 xml:space="preserve">
- O conjurador força o sangue a se cristalizar instantaneamente, seja dentro de uma criatura ou fora dela.
- Uso Interno:
    - Ao alvejar uma criatura viva, o sangue do alvo se cristaliza parcialmente em seu interior, causando 1d6+6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+2, GDP +2).
</t>
  </si>
  <si>
    <t xml:space="preserve">
- Caso utilize o próprio sangue para o uso externo, o conjurador sofre 1 ponto de dano (não redutível).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</si>
  <si>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 xml:space="preserve">
- O conjurador força o sangue a se cristalizar instantaneamente, seja dentro de uma criatura ou fora dela.
- Uso Interno:
    - Ao alvejar uma criatura viva, o sangue do alvo se cristaliza parcialmente em seu interior, causando 1d6+8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+3, GDP +3).
</t>
  </si>
  <si>
    <t xml:space="preserve">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</si>
  <si>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Míssil de Sangue</t>
  </si>
  <si>
    <t xml:space="preserve">
- O conjurador projeta um dardo de sangue comprimido em alta velocidade contra um alvo.
- O míssel causa 1d6 de dano perfurante.
- O sangue utilizado pode ser originado do ambiente ou do próprio conjurador.
- Caso haja sangue disponível no ambiente, o projétil se forma de maneira mais estável.</t>
  </si>
  <si>
    <t xml:space="preserve">
- Caso utilize o próprio sangue, o conjurador sofre 4 pontos de dano (não redutível).
- Diferente do Míssel Arcano, este projétil pode deixar vestígios físicos no ambiente.
- Interage com efeitos de Hemomancia: pode consumir sangue presente em áreas afetadas por outros feitiços sem custo adicional.
    - Para cada 1 Hex de sangue consumido, em um área de 2 Hex em torno do conjurador, +1 de dano é adicionado ao feitiço.
- Pode ser bloqueado normalmente por armaduras, diferentemente de efeitos internos da escola.</t>
  </si>
  <si>
    <t xml:space="preserve">
- O conjurador projeta um dardo de sangue comprimido em alta velocidade contra um alvo.
- O míssel causa 1d6+2 de dano perfurante.
- O sangue utilizado pode ser originado do ambiente ou do próprio conjurador.
- Caso haja sangue disponível no ambiente, o projétil se forma de maneira mais estável.</t>
  </si>
  <si>
    <t xml:space="preserve">
- Caso utilize o próprio sangue, o conjurador sofre 3 pontos de dano (não redutível).
- Diferente do Míssel Arcano, este projétil pode deixar vestígios físicos no ambiente.
- Interage com efeitos de Hemomancia: pode consumir sangue presente em áreas afetadas por outros feitiços sem custo adicional.
    - Para cada 1 Hex de sangue consumido, em um área de 2 Hex em torno do conjurador, +1 de dano é adicionado ao feitiço.
- Pode ser bloqueado normalmente por armaduras, diferentemente de efeitos internos da escola.</t>
  </si>
  <si>
    <t xml:space="preserve">
- O conjurador projeta um dardo de sangue comprimido em alta velocidade contra um alvo.
- O míssel causa 1d6+4 de dano perfurante.
- O sangue utilizado pode ser originado do ambiente ou do próprio conjurador.
- Caso haja sangue disponível no ambiente, o projétil se forma de maneira mais estável.</t>
  </si>
  <si>
    <t xml:space="preserve">
- Caso utilize o próprio sangue, o conjurador sofre 2 pontos de dano (não redutível).
- Diferente do Míssel Arcano, este projétil pode deixar vestígios físicos no ambiente.
- Interage com efeitos de Hemomancia: pode consumir sangue presente em áreas afetadas por outros feitiços sem custo adicional.
    - Para cada 1 Hex de sangue consumido, em um área de 3 Hex em torno do conjurador, +1 de dano é adicionado ao feitiço.
- Pode ser bloqueado normalmente por armaduras, diferentemente de efeitos internos da escola.</t>
  </si>
  <si>
    <t xml:space="preserve">
- O conjurador projeta um dardo de sangue comprimido em alta velocidade contra um alvo.
- O míssel causa 1d6+6 de dano perfurante.
- O sangue utilizado pode ser originado do ambiente ou do próprio conjurador.
- Caso haja sangue disponível no ambiente, o projétil se forma de maneira mais estável.</t>
  </si>
  <si>
    <t xml:space="preserve">
- Caso utilize o próprio sangue, o conjurador sofre 1 pontos de dano (não redutível).
- Diferente do Míssel Arcano, este projétil pode deixar vestígios físicos no ambiente.
- Interage com efeitos de Hemomancia: pode consumir sangue presente em áreas afetadas por outros feitiços sem custo adicional.
    - Para cada 1 Hex de sangue consumido, em um área de 3 Hex em torno do conjurador, +1 de dano é adicionado ao feitiço.
- Pode ser bloqueado normalmente por armaduras, diferentemente de efeitos internos da escola.</t>
  </si>
  <si>
    <t xml:space="preserve">
- O conjurador projeta um dardo de sangue comprimido em alta velocidade contra um alvo.
- O míssel causa 1d6+8 de dano perfurante.
- O sangue utilizado pode ser originado do ambiente ou do próprio conjurador.
- Caso haja sangue disponível no ambiente, o projétil se forma de maneira mais estável.</t>
  </si>
  <si>
    <t xml:space="preserve">
- Diferente do Míssel Arcano, este projétil pode deixar vestígios físicos no ambiente.
- Interage com efeitos de Hemomancia: pode consumir sangue presente em áreas afetadas por outros feitiços sem custo adicional.
    - Para cada 1 Hex de sangue consumido, em um área de 5 Hex em torno do conjurador, +1 de dano é adicionado ao feitiço.
- Pode ser bloqueado normalmente por armaduras, diferentemente de efeitos internos da escola.</t>
  </si>
  <si>
    <t>Armadura de Sangue</t>
  </si>
  <si>
    <t xml:space="preserve">
- O conjurador manipula sangue para formar uma camada protetora ao redor de um alvo vivo.
- A armadura assume a forma de placas, veias espessas ou uma película densa que se solidifica temporariamente.
- Concede RD +1, tratada como armadura para todos os efeitos.</t>
  </si>
  <si>
    <t xml:space="preserve">
- Caso utilize o próprio sangue, o conjurador sofre 4 pontos de dano (não redutível).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2 Hex em torno do alvo, consumido +1 de RD é adicionado ao feitiço.</t>
  </si>
  <si>
    <t xml:space="preserve">
- O conjurador manipula sangue para formar uma camada protetora ao redor de um alvo vivo.
- A armadura assume a forma de placas, veias espessas ou uma película densa que se solidifica temporariamente.
- Concede RD +2, tratada como armadura para todos os efeitos.</t>
  </si>
  <si>
    <t xml:space="preserve">
- Caso utilize o próprio sangue, o conjurador sofre 3 pontos de dano (não redutível).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2 Hex em torno do alvo, consumido +1 de RD é adicionado ao feitiço.</t>
  </si>
  <si>
    <t xml:space="preserve">
- O conjurador manipula sangue para formar uma camada protetora ao redor de um alvo vivo.
- A armadura assume a forma de placas, veias espessas ou uma película densa que se solidifica temporariamente.
- Concede RD +3, tratada como armadura para todos os efeitos.</t>
  </si>
  <si>
    <t xml:space="preserve">
- Caso utilize o próprio sangue, o conjurador sofre 2 pontos de dano (não redutível).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3 Hex em torno do alvo, consumido +1 de RD é adicionado ao feitiço.</t>
  </si>
  <si>
    <t xml:space="preserve">
- O conjurador manipula sangue para formar uma camada protetora ao redor de um alvo vivo.
- A armadura assume a forma de placas, veias espessas ou uma película densa que se solidifica temporariamente.
- Concede RD +4, tratada como armadura para todos os efeitos.</t>
  </si>
  <si>
    <t xml:space="preserve">
- Caso utilize o próprio sangue, o conjurador sofre 1 ponto de dano (não redutível).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3 Hex em torno do alvo, consumido +1 de RD é adicionado ao feitiço.</t>
  </si>
  <si>
    <t xml:space="preserve">
- O conjurador manipula sangue para formar uma camada protetora ao redor de um alvo vivo.
- A armadura assume a forma de placas, veias espessas ou uma película densa que se solidifica temporariamente.
- Concede RD +5, tratada como armadura para todos os efeitos.</t>
  </si>
  <si>
    <t xml:space="preserve">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5 Hex em torno do alvo, consumido +1 de RD é adicionado ao feitiço.</t>
  </si>
  <si>
    <t>Parede de Sangue</t>
  </si>
  <si>
    <t xml:space="preserve">
- O conjurador ergue uma parede densa de sangue coagulado e pulsante.
- A parede bloqueia completamente projéteis não mágicos.
- Projéteis mágicos ou ataques de energia ao atravessarem a parede sofrem redução de potência (a critério do Mestre).
- A estrutura absorve impacto físico, funcionando como cobertura total para quem estiver atrás dela.
- Ao final da duração, a parede colapsa, espalhando sangue na área onde estava.</t>
  </si>
  <si>
    <t xml:space="preserve">
- Caso não haja sangue disponível no ambiente, o conjurador deve utilizar o próprio, sofrendo 8 pontos de dano (não redutível).
- A parede pode ser destruída caso sofra dano suficiente (os PV da Parede são iguais a IQ x2 do conjurador).
- Após se desfazer, a área pode ser considerada uma fonte de sangue para outros feitiços de Hemomancia.</t>
  </si>
  <si>
    <t xml:space="preserve">
- Caso não haja sangue disponível no ambiente, o conjurador deve utilizar o próprio, sofrendo 7 pontos de dano (não redutível).
- A parede pode ser destruída caso sofra dano suficiente (os PV da Parede são iguais a IQ x3 do conjurador).
- Após se desfazer, a área pode ser considerada uma fonte de sangue para outros feitiços de Hemomancia.</t>
  </si>
  <si>
    <t xml:space="preserve">
- Caso não haja sangue disponível no ambiente, o conjurador deve utilizar o próprio, sofrendo 6 pontos de dano (não redutível).
- A parede pode ser destruída caso sofra dano suficiente (os PV da Parede são iguais a IQ x4 do conjurador).
- Após se desfazer, a área pode ser considerada uma fonte de sangue para outros feitiços de Hemomancia.</t>
  </si>
  <si>
    <t xml:space="preserve">
- Caso não haja sangue disponível no ambiente, o conjurador deve utilizar o próprio, sofrendo 5 pontos de dano (não redutível).
- A parede pode ser destruída caso sofra dano suficiente (os PV da Parede são iguais a IQ x5 do conjurador).
- Após se desfazer, a área pode ser considerada uma fonte de sangue para outros feitiços de Hemomancia.</t>
  </si>
  <si>
    <t xml:space="preserve">
- Caso não haja sangue disponível no ambiente, o conjurador deve utilizar o próprio, sofrendo 4 pontos de dano (não redutível).
- A parede pode ser destruída caso sofra dano suficiente (os PV da Parede são iguais a IQ x8 do conjurador).
- Após se desfazer, a área pode ser considerada uma fonte de sangue para outros feitiços de Hemomancia.</t>
  </si>
  <si>
    <t>Lâmina de Sangue</t>
  </si>
  <si>
    <t xml:space="preserve">
- O conjurador molda sangue em uma arma corpo-a-corpo sólida e pulsante.
- A arma é considerada mágica para todos os efeitos.</t>
  </si>
  <si>
    <t xml:space="preserve">
- O dano da arma deve ser calculado da seguinte forma:
    - Calcula-se os danos de BAL e GDP a partir do IQ (da mesma forma que o dano padrão do personagem baseado em ST).
    - Soma-se ao valor obtido acima o bônus equivalente a uma arma do mesmo tipo e nível de qualidade.
- Caso não haja sangue disponível no ambiente, o conjurador utiliza o próprio, sofrendo 4 pontos de dano (não redutível).
- A lâmina pode alterar levemente sua forma durante o combate para mudar seu alcance.
- Diferente da Lâmina Arcana, esta arma pode deixar resíduos físicos e interagir com outros efeitos de Hemomancia.
- Caso o conjurador fique inconsciente, a lâmina se desfaz imediatamente.</t>
  </si>
  <si>
    <t xml:space="preserve">
- O dano da arma deve ser calculado da seguinte forma:
    - Calcula-se os danos de BAL e GDP a partir do IQ (da mesma forma que o dano padrão do personagem baseado em ST).
    - Soma-se ao valor obtido acima o bônus equivalente a uma arma do mesmo tipo e nível de qualidade.
- Caso não haja sangue disponível no ambiente, o conjurador utiliza o próprio, sofrendo 3 pontos de dano (não redutível).
- A lâmina pode alterar levemente sua forma durante o combate para mudar seu alcance.
- Diferente da Lâmina Arcana, esta arma pode deixar resíduos físicos e interagir com outros efeitos de Hemomancia.
- Caso o conjurador fique inconsciente, a lâmina se desfaz imediatamente.</t>
  </si>
  <si>
    <t xml:space="preserve">
- O dano da arma deve ser calculado da seguinte forma:
    - Calcula-se os danos de BAL e GDP a partir do IQ (da mesma forma que o dano padrão do personagem baseado em ST).
    - Soma-se ao valor obtido acima o bônus equivalente a uma arma do mesmo tipo e nível de qualidade.
- Caso não haja sangue disponível no ambiente, o conjurador utiliza o próprio, sofrendo 2 pontos de dano (não redutível).
- A lâmina pode alterar levemente sua forma durante o combate para mudar seu alcance.
- Diferente da Lâmina Arcana, esta arma pode deixar resíduos físicos e interagir com outros efeitos de Hemomancia.
- Caso o conjurador fique inconsciente, a lâmina se desfaz imediatamente.</t>
  </si>
  <si>
    <t xml:space="preserve">
- O dano da arma deve ser calculado da seguinte forma:
    - Calcula-se os danos de BAL e GDP a partir do IQ (da mesma forma que o dano padrão do personagem baseado em ST).
    - Soma-se ao valor obtido acima o bônus equivalente a uma arma do mesmo tipo e nível de qualidade.
- Caso não haja sangue disponível no ambiente, o conjurador utiliza o próprio, sofrendo 1 pontos de dano (não redutível).
- A lâmina pode alterar levemente sua forma durante o combate para mudar seu alcance.
- Diferente da Lâmina Arcana, esta arma pode deixar resíduos físicos e interagir com outros efeitos de Hemomancia.
- Caso o conjurador fique inconsciente, a lâmina se desfaz imediatamente.</t>
  </si>
  <si>
    <t xml:space="preserve">
- O dano da arma deve ser calculado da seguinte forma:
    - Calcula-se os danos de BAL e GDP a partir do IQ (da mesma forma que o dano padrão do personagem baseado em ST).
    - Soma-se ao valor obtido acima o bônus equivalente a uma arma do mesmo tipo e nível de qualidade.
- A lâmina pode alterar levemente sua forma durante o combate para mudar seu alcance.
- Diferente da Lâmina Arcana, esta arma pode deixar resíduos físicos e interagir com outros efeitos de Hemomancia.
- Caso o conjurador fique inconsciente, a lâmina se desfaz imediatamente.</t>
  </si>
  <si>
    <t>Donzela de Ferro</t>
  </si>
  <si>
    <t xml:space="preserve">
- Moldar Mana
- Moldar Sangue
- Cristalizar Sangue</t>
  </si>
  <si>
    <t xml:space="preserve">
- O conjurador envolve o alvo em uma massa de sangue que se fecha ao seu redor como um casulo.
- Em seguida, o sangue se cristaliza violentamente, formando inúmeros espinhos que perfuram o corpo da vítima.
- O alvo deve resistir utilizando Moldar Mana -1 ou DX -1, o que for maior.
- Em caso de falha:
    - Sofre 2d6 de dano perfurante direto (ignora armadura física), sem multiplicadores.
    - Fica imobilizado até o final do próximo turno, quando poderá realizar um novo teste.
    - Sofre hemorragia, recebendo 1d6 de dano adicional por turno depois do primeiro.
- Em caso de falha crítica:
    - Sofre 2d6+2 de dano direto, sem multiplicadores.
    - Fica imobilizado por toda a duração.
    - Sofre hemorragia severa, recebendo 1d6+2 de dano adicional por turno depois do primeiro.
Em caso de sucesso:
    - Sofre 1d6 de dano (não ignora armadura).
    - Não fica imobilizado, mas sofre -2 em ações físicas até o próximo turno.</t>
  </si>
  <si>
    <t xml:space="preserve">
- Caso não haja sangue suficiente no alvo ou no ambiente, o conjurador deve complementar com o próprio, sofrendo 8 pontos de dano (não redutível).
- A resistência por Moldar Mana representa o controle interno que impede a cristalização completa.
- A estrutura cristalizada pode ser destruída com um ataque bem-sucedido, libertando o alvo antes do tempo (A estrutura tem PV igual ao IQ do conjurador).
- Armaduras não protegem contra o efeito principal (interno), mas podem reduzir efeitos secundários conforme critério do mestre.
- Este feitiço é considerado altamente proibido e brutal, frequentemente associado a práticas tabu ou malignas.</t>
  </si>
  <si>
    <t xml:space="preserve">
- O conjurador envolve o alvo em uma massa de sangue que se fecha ao seu redor como um casulo.
- Em seguida, o sangue se cristaliza violentamente, formando inúmeros espinhos que perfuram o corpo da vítima.
- O alvo deve resistir utilizando Moldar Mana -2 ou DX -2, o que for maior.
- Em caso de falha:
    - Sofre 2d6+2 de dano perfurante direto (ignora armadura física), sem multiplicadores.
    - Fica imobilizado até o final do próximo turno, quando poderá realizar um novo teste.
    - Sofre hemorragia, recebendo 1d6+2 de dano adicional por turno depois do primeiro.
- Em caso de falha crítica:
    - Sofre 2d6+4 de dano direto, sem multiplicadores.
    - Fica imobilizado por toda a duração.
    - Sofre hemorragia severa, recebendo 1d6+4 de dano adicional por turno depois do primeiro.
Em caso de sucesso:
    - Sofre 1d6+2 de dano (não ignora armadura).
    - Não fica imobilizado, mas sofre -2 em ações físicas até o próximo turno.</t>
  </si>
  <si>
    <t xml:space="preserve">
- Este feitiço só pode ser utilizado em criaturas que possuam sangue ou equivalente funcional.
- Caso não haja sangue suficiente no alvo ou no ambiente, o conjurador deve complementar com o próprio, sofrendo 7 pontos de dano (não redutível).
- A estrutura cristalizada pode ser destruída com um ataque bem-sucedido, libertando o alvo antes do tempo (A estrutura tem PV igual ao IQ do conjurador).
- Este feitiço é considerado altamente proibido e brutal, frequentemente associado a práticas tabu ou malignas.</t>
  </si>
  <si>
    <t xml:space="preserve">
- O conjurador envolve o alvo em uma massa de sangue que se fecha ao seu redor como um casulo.
- Em seguida, o sangue se cristaliza violentamente, formando inúmeros espinhos que perfuram o corpo da vítima.
- O alvo deve resistir utilizando Moldar Mana -3 ou DX -3, o que for maior.
- Em caso de falha:
    - Sofre 2d6+4 de dano perfurante direto (ignora armadura física), sem multiplicadores.
    - Fica imobilizado até o final do próximo turno, quando poderá realizar um novo teste.
    - Sofre hemorragia, recebendo 1d6+4 de dano adicional por turno depois do primeiro.
- Em caso de falha crítica:
    - Sofre 2d6+6 de dano direto, sem multiplicadores.
    - Fica imobilizado por toda a duração.
    - Sofre hemorragia severa, recebendo 1d6+6 de dano adicional por turno depois do primeiro.
Em caso de sucesso:
    - Sofre 1d6+4 de dano (não ignora armadura).
    - Não fica imobilizado, mas sofre -2 em ações físicas até o próximo turno.</t>
  </si>
  <si>
    <t xml:space="preserve">
- Este feitiço só pode ser utilizado em criaturas que possuam sangue ou equivalente funcional.
- Caso não haja sangue suficiente no alvo ou no ambiente, o conjurador deve complementar com o próprio, sofrendo 6 pontos de dano (não redutível).
- A resistência por Moldar Mana representa o controle interno que impede a cristalização completa.
- A estrutura cristalizada pode ser destruída com um ataque bem-sucedido, libertando o alvo antes do tempo (A estrutura tem PV igual ao IQ do conjurador).
- Armaduras não protegem contra o efeito principal (interno), mas podem reduzir efeitos secundários conforme critério do mestre.
- Este feitiço é considerado altamente proibido e brutal, frequentemente associado a práticas tabu ou malignas.</t>
  </si>
  <si>
    <t xml:space="preserve">
- O conjurador envolve o alvo em uma massa de sangue que se fecha ao seu redor como um casulo.
- Em seguida, o sangue se cristaliza violentamente, formando inúmeros espinhos que perfuram o corpo da vítima.
- O alvo deve resistir utilizando Moldar Mana -4 ou DX -4, o que for maior.
- Em caso de falha:
    - Sofre 2d6+6 de dano perfurante direto (ignora armadura física), sem multiplicadores.
    - Fica imobilizado até o final do próximo turno, quando poderá realizar um novo teste.
    - Sofre hemorragia, recebendo 1d6+6 de dano adicional por turno depois do primeiro.
- Em caso de falha crítica:
    - Sofre 2d6+8 de dano direto, sem multiplicadores.
    - Fica imobilizado por toda a duração.
    - Sofre hemorragia severa, recebendo 1d6+8 de dano adicional por turno depois do primeiro.
Em caso de sucesso:
    - Sofre 1d6+8 de dano (não ignora armadura).
    - Não fica imobilizado, mas sofre -2 em ações físicas até o próximo turno.</t>
  </si>
  <si>
    <t xml:space="preserve">
- Este feitiço só pode ser utilizado em criaturas que possuam sangue ou equivalente funcional.
- Caso não haja sangue suficiente no alvo ou no ambiente, o conjurador deve complementar com o próprio, sofrendo 5 pontos de dano (não redutível).
- A resistência por Moldar Mana representa o controle interno que impede a cristalização completa.
- A estrutura cristalizada pode ser destruída com um ataque bem-sucedido, libertando o alvo antes do tempo (A estrutura tem PV igual ao IQ do conjurador).
- Armaduras não protegem contra o efeito principal (interno), mas podem reduzir efeitos secundários conforme critério do mestre.
- Este feitiço é considerado altamente proibido e brutal, frequentemente associado a práticas tabu ou malignas.</t>
  </si>
  <si>
    <t xml:space="preserve">
- O conjurador envolve o alvo em uma massa de sangue que se fecha ao seu redor como um casulo.
- Em seguida, o sangue se cristaliza violentamente, formando inúmeros espinhos que perfuram o corpo da vítima.
- O alvo deve resistir utilizando Moldar Mana -5 ou DX -5, o que for maior.
- Em caso de falha:
    - Sofre 2d6+8 de dano perfurante direto (ignora armadura física), sem multiplicadores.
    - Fica imobilizado até o final do próximo turno, quando poderá realizar um novo teste.
    - Sofre hemorragia, recebendo 1d6+8 de dano adicional por turno depois do primeiro.
- Em caso de falha crítica:
    - Sofre 2d6+10 de dano direto, sem multiplicadores.
    - Fica imobilizado por toda a duração.
    - Sofre hemorragia severa, recebendo 1d6+10 de dano adicional por turno depois do primeiro.
Em caso de sucesso:
    - Sofre 1d6+10 de dano (não ignora armadura).
    - Não fica imobilizado, mas sofre -2 em ações físicas até o próximo turno.</t>
  </si>
  <si>
    <t xml:space="preserve">
- Este feitiço só pode ser utilizado em criaturas que possuam sangue ou equivalente funcional.
- Caso não haja sangue suficiente no alvo ou no ambiente, o conjurador deve complementar com o próprio, sofrendo 4 pontos de dano (não redutível).
- A resistência por Moldar Mana representa o controle interno que impede a cristalização completa.
- A estrutura cristalizada pode ser destruída com um ataque bem-sucedido, libertando o alvo antes do tempo (A estrutura tem PV igual ao IQ do conjurador).
- Armaduras não protegem contra o efeito principal (interno), mas podem reduzir efeitos secundários conforme critério do mestre.
- Este feitiço é considerado altamente proibido e brutal, frequentemente associado a práticas tabu ou malignas.</t>
  </si>
  <si>
    <t>Transfusão</t>
  </si>
  <si>
    <t xml:space="preserve">
- O conjurador drena sangue presente em um ou mais Hex dentro do alcance, absorvendo sua essência vital.
- Ao utilizar este feitiço, o conjurador pode remover 1 ou mais pontos de dano não redutível causado pelo uso de sua própria pool de sangue, para cada 1 Hex drenado.
- Caso a pool de sangue do conjurador esteja completa, a transfusão pode ser utilizada para curar 1d6 ponto de PV.
- O sangue drenado deve estar disponível no ambiente.</t>
  </si>
  <si>
    <t xml:space="preserve">
- Este feitiço não gera sangue — apenas consome sangue já existente no campo.
- Não pode ser utilizado em áreas sem presença significativa de sangue (a critério do mestre).
- Não pode ser utilizado diretamente em criaturas vivas como alvo.
- Funciona como principal ferramenta de sustentação da Hemomancia em combate.
- Incentiva o uso agressivo e a criação de zonas de sangue no campo de batalha.
- Pode ser utilizado múltiplas vezes por turno apenas se houver fontes distintas de sangue disponíveis (a critério do mestre).</t>
  </si>
  <si>
    <t xml:space="preserve">
- O conjurador drena sangue presente em um ou mais Hex dentro do alcance, absorvendo sua essência vital.
- Ao utilizar este feitiço, o conjurador pode remover 1 ou mais pontos de dano não redutível causado pelo uso de sua própria pool de sangue, para cada 1 Hex drenado.
- Caso a pool de sangue do conjurador esteja completa, a transfusão pode ser utilizada para curar 1d6+2 ponto de PV.
- O sangue drenado deve estar disponível no ambiente.</t>
  </si>
  <si>
    <t xml:space="preserve">
- +1 de Mana para cada 2 Hex de raio de alcance adicionais.
</t>
  </si>
  <si>
    <t xml:space="preserve">
- O conjurador drena sangue presente em um ou mais Hex dentro do alcance, absorvendo sua essência vital.
- Ao utilizar este feitiço, o conjurador pode remover 1 ou mais pontos de dano não redutível causado pelo uso de sua própria pool de sangue, para cada 1 Hex drenado.
- Caso a pool de sangue do conjurador esteja completa, a transfusão pode ser utilizada para curar 1d6+4 ponto de PV.
- O sangue drenado deve estar disponível no ambiente.</t>
  </si>
  <si>
    <t xml:space="preserve">
- O conjurador drena sangue presente em um ou mais Hex dentro do alcance, absorvendo sua essência vital.
- Ao utilizar este feitiço, o conjurador pode remover 1 ou mais pontos de dano não redutível causado pelo uso de sua própria pool de sangue, para cada 1 Hex drenado.
- Caso a pool de sangue do conjurador esteja completa, a transfusão pode ser utilizada para curar 1d6+6 ponto de PV.
- O sangue drenado deve estar disponível no ambiente.</t>
  </si>
  <si>
    <t xml:space="preserve">
- +1 de Mana para cada 3 Hex de raio de alcance adicionais.
</t>
  </si>
  <si>
    <t xml:space="preserve">
- O conjurador drena sangue presente em um ou mais Hex dentro do alcance, absorvendo sua essência vital.
- Ao utilizar este feitiço, o conjurador pode remover 2 ou mais pontos de dano não redutível causado pelo uso de sua própria pool de sangue, para cada 1 Hex drenado.
- Caso a pool de sangue do conjurador esteja completa, a transfusão pode ser utilizada para curar 1d6+8 ponto de PV.
- O sangue drenado deve estar disponível no ambiente.</t>
  </si>
  <si>
    <t>KIN-0000</t>
  </si>
  <si>
    <t>Kinetomancia</t>
  </si>
  <si>
    <t>Aceleração</t>
  </si>
  <si>
    <t>Aprimoramento</t>
  </si>
  <si>
    <t xml:space="preserve">
- Permite que o alvo se mova mais rápido, aumentando seus valores de Deslocamento e Esquiva em 1.</t>
  </si>
  <si>
    <t xml:space="preserve">
- Permite que o alvo se mova mais rápido, aumentando seus valores de Deslocamento e Esquiva em 2.</t>
  </si>
  <si>
    <t xml:space="preserve">
- Permite que o alvo se mova mais rápido, aumentando seus valores de Deslocamento e Esquiva em 3.</t>
  </si>
  <si>
    <t>Desacelerar</t>
  </si>
  <si>
    <t xml:space="preserve">
- Torna o alvo muito mais lento, reduzindo o Deslocamento do personagem e Esquiva em 1, mas não Aparar ou Bloquear.
</t>
  </si>
  <si>
    <t xml:space="preserve">
- Se o alvo usar uma manobra de Ataque Total para "dois ataques", ele só terá um ataque, mas uma arma balanceada não ficará desequilibrada por isso e uma desequilibrada exigirá apenas o tempo normal de preparação para se recuperar desse ataque.
- Aumenta o tempo de preparação das armas da seguinte forma: armas balanceadas levam 1 turno para preparar, armas que levavam 1 turno para preparar agora levam 2, armas que levavam 2 turnos para preparar agora levam 4 e assim por diante.</t>
  </si>
  <si>
    <t xml:space="preserve">
- Torna o alvo muito mais lento, reduzindo o Deslocamento do personagem e Esquiva em 2, mas não Aparar ou Bloquear.
</t>
  </si>
  <si>
    <t xml:space="preserve">
- Torna o alvo muito mais lento, reduzindo o Deslocamento do personagem e Esquiva em 3, mas não Aparar ou Bloquear.
</t>
  </si>
  <si>
    <t>Pés Enraizados</t>
  </si>
  <si>
    <t xml:space="preserve">
- Funciona apenas em um ser vivo.
- Os pés do alvo ficam colados no lugar! O sujeito tem direito a um novo teste de resistência a cada turno, rolando seu (ST-3) contra o teste de habilidade original da magia, para se libertar.
- A habilidade com qualquer arma, exceto armas de longo alcance, é reduzida em 2 enquanto a magia continuar, e a pontuação de Esquiva do sujeito é reduzida pela metade (arredondada para baixo).</t>
  </si>
  <si>
    <t xml:space="preserve">
- Funciona apenas em um ser vivo.
- Os pés do alvo ficam colados no lugar! O sujeito tem direito a um novo teste de resistência a cada turno, rolando seu (ST-4) contra o teste de habilidade original da magia, para se libertar.
- A habilidade com qualquer arma, exceto armas de longo alcance, é reduzida em 2 enquanto a magia continuar, e a pontuação de Esquiva do sujeito é reduzida pela metade (arredondada para baixo).</t>
  </si>
  <si>
    <t xml:space="preserve">
- Funciona apenas em um ser vivo.
- Os pés do alvo ficam colados no lugar! O sujeito tem direito a um novo teste de resistência a cada turno, rolando seu (ST-5) contra o teste de habilidade original da magia, para se libertar.
- A habilidade com qualquer arma, exceto armas de longo alcance, é reduzida em 2 enquanto a magia continuar, e a pontuação de Esquiva do sujeito é reduzida pela metade (arredondada para baixo).</t>
  </si>
  <si>
    <t xml:space="preserve">
- Funciona apenas em um ser vivo.
- Os pés do alvo ficam colados no lugar! O sujeito tem direito a um novo teste de resistência a cada turno, rolando seu (ST-6) contra o teste de habilidade original da magia, para se libertar.
- A habilidade com qualquer arma, exceto armas de longo alcance, é reduzida em 2 enquanto a magia continuar, e a pontuação de Esquiva do sujeito é reduzida pela metade (arredondada para baixo).</t>
  </si>
  <si>
    <t xml:space="preserve">
- Funciona apenas em um ser vivo.
- Os pés do alvo ficam colados no lugar! O sujeito tem direito a um novo teste de resistência a cada turno, rolando seu (ST-7) contra o teste de habilidade original da magia, para se libertar.
- A habilidade com qualquer arma, exceto armas de longo alcance, é reduzida em 2 enquanto a magia continuar, e a pontuação de Esquiva do sujeito é reduzida pela metade (arredondada para baixo).</t>
  </si>
  <si>
    <t>Cola</t>
  </si>
  <si>
    <t xml:space="preserve">
- Moldar Mana
- Pés Enraizados</t>
  </si>
  <si>
    <t xml:space="preserve">
- Torna uma superfície extremamente pegajosa.
- O efeito em qualquer pessoa que pisar na superfície é o mesmo de uma magia Pés Enraizados. 
- Assim que a vítima resistir com sucesso, ela estará livre para agir dentro daquele hexágono: assim que ela pisar em outro hexágono pegajoso (mesmo um do qual ela já tenha escapado), ela sofrerá Pés Enraizados novamente.</t>
  </si>
  <si>
    <t>- Graxa e Cola resistem uma à outra.</t>
  </si>
  <si>
    <t>Graxa</t>
  </si>
  <si>
    <t xml:space="preserve">
- Torna uma superfície extremamente escorregadia.
- Qualquer um que pise na superfície deve rolar contra DX-2 ao entrar em cada Hex, se falhar na rolagem, cai.
- Outra rolagem de DX-2 é necessária para se levantar (mas não para sentar ou ajoelhar).
- Todos os ataques corpo a corpo e defesas ativas sofrem uma penalidade de -3; outras habilidades físicas, incluindo ataques com projéteis e armas de arremesso, sofrem uma penalidade de -2 devido ao terreno escorregadio.
- Esta magia também pode ser conjurada em superfícies verticais para tornar a escalada impossível.
- O Mestre deverá usar seu julgamento em superfícies com inclinação intermediária.</t>
  </si>
  <si>
    <t xml:space="preserve">
- Ao contrário do Feitiço Camada de Gelo, cujos efeitos são quase idênticos, a graxa não pode ser vista por meios normais. 
- Além disso, botas com crampons são ineficazes contra uma superfície engordurada.
- Graxa e Cola resistem uma à outra.</t>
  </si>
  <si>
    <t xml:space="preserve">
- Torna uma superfície extremamente escorregadia.
- Qualquer um que pise na superfície deve rolar contra DX-3 ao entrar em cada Hex, se falhar na rolagem, cai.
- Outra rolagem de DX-3 é necessária para se levantar (mas não para sentar ou ajoelhar).
- Todos os ataques corpo a corpo e defesas ativas sofrem uma penalidade de -3; outras habilidades físicas, incluindo ataques com projéteis e armas de arremesso, sofrem uma penalidade de -2 devido ao terreno escorregadio.
- Esta magia também pode ser conjurada em superfícies verticais para tornar a escalada impossível.
- O Mestre deverá usar seu julgamento em superfícies com inclinação intermediária.</t>
  </si>
  <si>
    <t>Carga Leve</t>
  </si>
  <si>
    <t xml:space="preserve">
- 1 de Mana para redução de 25%
- 2 de Mana para redução de 50%
- 3 de Mana para redução de 75%;
- 4 de mana para a redução de 100%
- +5 de Mana para cada Turno de duração adicional.</t>
  </si>
  <si>
    <t xml:space="preserve">
- Este feitiço reduz o peso de qualquer equipamento que o alvo esteja carregando.</t>
  </si>
  <si>
    <t>Carga Pesada</t>
  </si>
  <si>
    <t xml:space="preserve">
- 1 de Mana para aumento de 25%
- 2 de Mana para aumento de 50%
- 3 de Mana para aumento de 75%;
- 4 de mana para a aumento de 100%
- +5 de Mana para cada Turno de duração adicional.</t>
  </si>
  <si>
    <t xml:space="preserve">
- Este feitiço aumenta o peso de um objeto; o usuário do objeto (se for o caso) resiste com seu IQ .
- Útil para retardar um alvo em investida ou para impedir que coisas sejam levadas pelo vento.</t>
  </si>
  <si>
    <t>Queda Livre</t>
  </si>
  <si>
    <t>Até o fim da queda</t>
  </si>
  <si>
    <t xml:space="preserve">
- Reduz a velocidade terminal de queda do alvo para 90% do valor normal.</t>
  </si>
  <si>
    <t xml:space="preserve">
- O dano de queda sofrido pelo alvo é reduzido em 10%.</t>
  </si>
  <si>
    <t xml:space="preserve">
- Reduz a velocidade terminal de queda do alvo para 70% do valor normal.</t>
  </si>
  <si>
    <t xml:space="preserve">
- O dano de queda sofrido pelo alvo é reduzido em 30%.</t>
  </si>
  <si>
    <t xml:space="preserve">
- Reduz a velocidade terminal de queda do alvo para 50% do valor normal.</t>
  </si>
  <si>
    <t xml:space="preserve">
- O dano de queda sofrido pelo alvo é reduzido em 50%.</t>
  </si>
  <si>
    <t xml:space="preserve">
- Reduz a velocidade terminal de queda do alvo para 30% do valor normal.</t>
  </si>
  <si>
    <t xml:space="preserve">
- O dano de queda sofrido pelo alvo é reduzido em 70%.</t>
  </si>
  <si>
    <t xml:space="preserve">
- Reduz a velocidade terminal de queda do alvo para 10% do valor normal.</t>
  </si>
  <si>
    <t xml:space="preserve">
- O dano de queda sofrido pelo alvo é reduzido em 90%.</t>
  </si>
  <si>
    <t>Andar Pelas Paredes</t>
  </si>
  <si>
    <t>Até o fim do contato com a superfície</t>
  </si>
  <si>
    <t xml:space="preserve">
- Permite que o alvo ande em paredes ou tetos como se fossem terreno plano. 
- Pelo menos uma mão ou um pé deve permanecer em contato com qualquer superfície, horizontal, vertical ou outra, caso contrário, a magia é quebrada. </t>
  </si>
  <si>
    <t>No combate é aplicado um redutor -2 para o atacante e para o oponente devido aos ângulos estranhos.</t>
  </si>
  <si>
    <t>Pés Leves</t>
  </si>
  <si>
    <t xml:space="preserve">
- +5 de Mana para cada 5 minutos adicionais de duração.</t>
  </si>
  <si>
    <t xml:space="preserve">
- Permite que o alvo caminhe sobre qualquer superfície (que deve ser capaz de suportar seu peso) sem deixar rastros, tornando o rastreamento impossível. 
- Se houver vegetação na superfície, alguns rastros permanecerão, tornando o rastreamento possível com uma penalidade de -8.
- Esta magia também impedirá o alvo de acionar armadilhas de placa de pressão e similares.</t>
  </si>
  <si>
    <t xml:space="preserve">
- +4 de Mana para cada 5 minutos adicionais de duração.</t>
  </si>
  <si>
    <t xml:space="preserve">
- +3 de Mana para cada 5 minutos adicionais de duração.</t>
  </si>
  <si>
    <t>15 Minutos</t>
  </si>
  <si>
    <t xml:space="preserve">
- +2 de Mana para cada 5 minutos adicionais de duração.</t>
  </si>
  <si>
    <t>20 Minutos</t>
  </si>
  <si>
    <t xml:space="preserve">
- +1 de Mana para cada 5 minutos adicionais de duração.</t>
  </si>
  <si>
    <t>Blink</t>
  </si>
  <si>
    <t>Teleporte</t>
  </si>
  <si>
    <t xml:space="preserve">
- Permite ao conjurador evitar um ataque teleportando-se instantaneamente para fora do seu caminho e para um Hex livre próximo ou reposicionar-se taticamente em relação ao inimigo.
- Um Hex não é considerado livre se alguém estiver nele; qualquer obstrução menor é considerada "livre" para os propósitos desta magia.
- Contra ataques de projéteis, o movimento diretamente em direção ao atacante ou para longe dele não é permitido, ou seja, somente para os lados.
- O "teleporte" moverá o conjurador para o hexágono livre mais próximo na direção escolhida, respeitando o alcance do feitiço, se necessário.
- A direção para a qual o conjurador está virado permanece inalterada.
- Caso o conjurador escolha um posicionamento adjacente a um inimigo, ele pode usá-lo para obter vantagem tática (como flanquear, evitar cobertura ou engajar corpo a corpo), desde que o destino seja válido.
- Se não houver nenhum lugar livre dentro da área de alcance na direção escolhida, a magia falhará.</t>
  </si>
  <si>
    <t xml:space="preserve">
- Para fins de combate, o Blink é tratado como uma esquiva que é bem-sucedida automaticamente se o teste de magia for bem-sucedido.
- Após o uso bem-sucedido, o conjurador pode realizar uma ação ofensiva imediata com penalidade -3,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t>
  </si>
  <si>
    <t>18 Hex</t>
  </si>
  <si>
    <t xml:space="preserve">
- Para fins de combate, o Blink é tratado como uma esquiva que é bem-sucedida automaticamente se o teste de magia for bem-sucedido.
- Após o uso bem-sucedido, o conjurador pode realizar uma ação ofensiva imediata com penalidade -2,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t>
  </si>
  <si>
    <t>24 Hex</t>
  </si>
  <si>
    <t>30 Hex</t>
  </si>
  <si>
    <t xml:space="preserve">
- Para fins de combate, o Blink é tratado como uma esquiva que é bem-sucedida automaticamente se o teste de magia for bem-sucedido.
- Após o uso bem-sucedido, o conjurador pode realizar uma ação ofensiva imediata com penalidade -1,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t>
  </si>
  <si>
    <t>Blinkar Outro</t>
  </si>
  <si>
    <t xml:space="preserve">
- Moldar Mana
- Blink</t>
  </si>
  <si>
    <t xml:space="preserve">
- Igual ao Blink, porém utilizado em um determinado alvo.</t>
  </si>
  <si>
    <t>Teletransporte</t>
  </si>
  <si>
    <t xml:space="preserve">
- Move instantaneamente o conjurador para outro local. 
- Normalmente, você só pode se teletransportar para um lugar que esteja olhando ou um com o qual esteja familiarizado. 
- Penalidades: -2 para um lugar que você "viu" apenas através da mente ou das memórias de outra pessoa, ou pela televisão; -2 para um lugar que você não viu em um mês (exceto, talvez, sua própria casa); e de -1 a -3 para um lugar visto apenas brevemente. 
- Essa magia também é perigosa. Se você falhar na sua rolagem por 1, você sofre 1 dado de dano e chega ao seu destino fisicamente atordoado (faça um teste de recuperação).
- Se você errar a rolagem por mais de 1, você não sofre nenhum ferimento físico, mas vai para outro lugar.
- O local fica a critério do Mestre. Uma falha crítica com essa magia pode enviar o conjurador para qualquer lugar que o Mestre quiser torne a situação interessante, só não mate o conjurador imediatamente.
</t>
  </si>
  <si>
    <t xml:space="preserve">
- Tudo o que você estiver carregando, até o limite de carga "pesada", irá com você.
- Você também pode levar uma pessoa com você de mãos dadas, desde que o peso adicional não exceda seu limite de carga "pesada".
- Uma falha no teste significa que a pessoa irá com você e sofrerá os mesmos efeitos que você.</t>
  </si>
  <si>
    <t>4 Turnos</t>
  </si>
  <si>
    <t>Teletransportar Outro</t>
  </si>
  <si>
    <t xml:space="preserve">
- Moldar Mana
- Teletransporte</t>
  </si>
  <si>
    <t xml:space="preserve">
- Semelhante a Teletransporte, exceto que o conjurador não se move, e o alvo pode ser qualquer coisa ou qualquer pessoa.
- Uma parte de um objeto não pode ser teletransportada, nem um objeto sólido pode ser teletransportado para dentro de outro objeto sólido.
- Separar dois objetos conectados acarretará uma penalidade definida pelo Mestre; remover a rolha de um frasco pode resultar em -1, enquanto teletransportar uma porta trancada de sua moldura pode resultar em -5.
- Joias ou roupas que estejam sendo usadas, ou um objeto segurado firmemente por outra pessoa, terão uma penalidade de -5 para serem teletransportadas, e o portador pode tentar um teste de resistência.</t>
  </si>
  <si>
    <t>Domo Anti Teletransporte</t>
  </si>
  <si>
    <t xml:space="preserve">
- Qualquer tentativa de Teletransportar (ou Blink) para dentro ou para fora da área de efeito resulta em uma penalidade de -5 na habilidade.
- Tentativas falhas de teletransportar para dentro têm os efeitos normais.
- Tentativas falhas de teletransportar para fora deixam o conjurador onde ele começou, fisicamente atordoado e tendo gasto Mana na tentativa. </t>
  </si>
  <si>
    <t xml:space="preserve">
- Dobrar o custo de Mana aumenta a penalidade para -10; triplicá-lo aumenta a penalidade para -15!</t>
  </si>
  <si>
    <t>7 Turnos</t>
  </si>
  <si>
    <t>Rastrear Teleporte</t>
  </si>
  <si>
    <t xml:space="preserve">
- Conjurado logo após alguém ou algo se teletransportar, realizar uma viagem no tempo ou alterar entre planos, este feitiço concede ao conjurador uma visão do destino do sujeito teletransportado.
- O conjurador também terá uma boa noção da magnitude da penalidade de habilidade envolvida para conjurar o feitiço.
</t>
  </si>
  <si>
    <t>- Em um sucesso crítico, o destino real será conhecido, mas qualquer sucesso dá ao conjurador uma noção suficiente do destino para segui-lo, se o fizer dentro de um minuto após conjurar Rastrear Teletransporte.</t>
  </si>
  <si>
    <t>Puxar</t>
  </si>
  <si>
    <t xml:space="preserve">
- Invocado em um único Hex, este feitiço cria uma zona de "atração". 
- Objetos (incluindo seres vivos) são atraídos em direção ao hexágono por uma força que aumenta à medida que se aproximam.
- Eles se movem nessa direção a 1 Hex por turno.
- O ST da atração é igual a 4x da de Mana investida na magia em seu próprio Hex, mas diminui em 1 para cada hexágono de distância.</t>
  </si>
  <si>
    <t xml:space="preserve">
- O feitiço não terá efeito em objetos mais pesados ​​que 20 vezes a ST do conjurador.
- Observe que, para arrastar um ser humano comum (peso de 70 kg) ao longo de um piso comum, o feitiço precisaria de um ST de pelo menos 8.
- O alvo também pode "resistir" (rolar um Teste de ST a cada turno).
- Este feitiço só pode ser conjurado em um ponto no espaço ou em uma superfície, não em objetos ou criaturas.
- Uma pequena pilha de objetos soltos, poeira, folhas secas, pequenos insetos, etc., geralmente se forma no hexágono do alvo.</t>
  </si>
  <si>
    <t xml:space="preserve">
- Invocado em um único Hex, este feitiço cria uma zona de "atração". 
- Objetos (incluindo seres vivos) são atraídos em direção ao hexágono por uma força que aumenta à medida que se aproximam.
- Eles se movem nessa direção a 1 Hex por turno.
- O ST da atração é igual a 6x da de Mana investida na magia em seu próprio Hex, mas diminui em 1 para cada hexágono de distância.</t>
  </si>
  <si>
    <t xml:space="preserve">
- Invocado em um único Hex, este feitiço cria uma zona de "atração". 
- Objetos (incluindo seres vivos) são atraídos em direção ao hexágono por uma força que aumenta à medida que se aproximam.
- Eles se movem nessa direção a 1 Hex por turno.
- O ST da atração é igual a 8x da de Mana investida na magia em seu próprio Hex, mas diminui em 1 para cada hexágono de distância.</t>
  </si>
  <si>
    <t>Empurrar</t>
  </si>
  <si>
    <t xml:space="preserve">
- Semelhante ao feitiço Puxar, exceto que agora a força repele objetos e criaturas em vez de atraí-los.</t>
  </si>
  <si>
    <t>Pular</t>
  </si>
  <si>
    <t>Movimentação</t>
  </si>
  <si>
    <t xml:space="preserve">
- Melhora a habilidade de Salto do alvo - a magia aumenta a ST, DX ou perícia de Salto do alvo (conforme o caso) apenas para fins de Salto.</t>
  </si>
  <si>
    <t>Downhill</t>
  </si>
  <si>
    <t>Até o fim da encosta</t>
  </si>
  <si>
    <t xml:space="preserve">
- Permite que o alvo deslize por uma encosta como se estivesse esquiando.
- Use a perícia Esqui, por padrão se necessário; aplique uma penalidade de -2 por não ter bastões para se guiar. 
- A magia funciona igualmente bem em todos os tipos de superfícies (areia, grama, pedra...) mas o sujeito ainda precisa evitar quaisquer obstáculos!</t>
  </si>
  <si>
    <t xml:space="preserve">
- Em uma boa descida, uma Velocidade igual à habilidade de Esqui do alvo pode ser mantida com relativa segurança.
- A Velocidade máxima, em condições extremamente boas, é igual ao dobro da habilidade de Esqui do alvo.
- Em terreno plano, a magia é um incômodo; o alvo trata cada hexágono em que entra como se estivesse sob o efeito da magia Graxa!</t>
  </si>
  <si>
    <t>Escalar</t>
  </si>
  <si>
    <t xml:space="preserve">
- Proporciona ao alvo uma pegada firme e segura para aumentar sua capacidade de escalada em +3.</t>
  </si>
  <si>
    <t xml:space="preserve">
- Proporciona ao alvo uma pegada firme e segura para aumentar sua capacidade de escalada em +4.</t>
  </si>
  <si>
    <t xml:space="preserve">
- Proporciona ao alvo uma pegada firme e segura para aumentar sua capacidade de escalada em +5.</t>
  </si>
  <si>
    <t xml:space="preserve">
- Proporciona ao alvo uma pegada firme e segura para aumentar sua capacidade de escalada em +6.</t>
  </si>
  <si>
    <t xml:space="preserve">
- Proporciona ao alvo uma pegada firme e segura para aumentar sua capacidade de escalada em +7.</t>
  </si>
  <si>
    <t>Nadar</t>
  </si>
  <si>
    <t xml:space="preserve">
- Permite que o alvo se mova na água com seu Movimento normal (reduzido normalmente por sobrecarga).
- O alvo tem controle total de seu próprio movimento e pode agir e lutar sem as penalidades normais para combate subaquático.
</t>
  </si>
  <si>
    <t xml:space="preserve">
- Esta magia não supre as necessidades respiratórias do alvo!
- No entanto, o alvo realiza automaticamente todos os testes de Natação, independentemente de fadiga ou sobrecarga, a menos que seja realmente arrastado totalmente para baixo da água.</t>
  </si>
  <si>
    <t>Levitação</t>
  </si>
  <si>
    <t xml:space="preserve">
- O alvo deve ser um ser vivo.
- O alvo flutua pelo ar, movendo-se conforme a vontade do conjurador.
- O deslocamento máximo enquanto levita é 3 (movimento vertical máximo de 3 Hex por turno). </t>
  </si>
  <si>
    <t xml:space="preserve">
- Se o próprio conjurador estiver levitando, ele mesmo pode lutar normalmente enquanto levita; se outra pessoa for o alvo, qualquer habilidade baseada em DX sofre uma penalidade de -2.</t>
  </si>
  <si>
    <t xml:space="preserve">
- Se o próprio conjurador estiver levitando, ele mesmo pode lutar normalmente enquanto levita; se outra pessoa for o alvo, qualquer habilidade baseada em DX sofre uma penalidade de -3.</t>
  </si>
  <si>
    <t xml:space="preserve">
- O alvo deve ser um ser vivo.
- O alvo flutua pelo ar, movendo-se conforme a vontade do conjurador.
- O deslocamento máximo enquanto levita é 4 (movimento vertical máximo de 4 Hex por turno). </t>
  </si>
  <si>
    <t xml:space="preserve">
- Se o próprio conjurador estiver levitando, ele mesmo pode lutar normalmente enquanto levita; se outra pessoa for o alvo, qualquer habilidade baseada em DX sofre uma penalidade de -4.</t>
  </si>
  <si>
    <t xml:space="preserve">
- Se o próprio conjurador estiver levitando, ele mesmo pode lutar normalmente enquanto levita; se outra pessoa for o alvo, qualquer habilidade baseada em DX sofre uma penalidade de -5.</t>
  </si>
  <si>
    <t xml:space="preserve">
- O alvo deve ser um ser vivo.
- O alvo flutua pelo ar, movendo-se conforme a vontade do conjurador.
- O deslocamento máximo enquanto levita é 5 (movimento vertical máximo de 5 Hex por turno). </t>
  </si>
  <si>
    <t xml:space="preserve">
- Se o próprio conjurador estiver levitando, ele mesmo pode lutar normalmente enquanto levita; se outra pessoa for o alvo, qualquer habilidade baseada em DX sofre uma penalidade de -6.</t>
  </si>
  <si>
    <t>Voar</t>
  </si>
  <si>
    <t xml:space="preserve">
- Permite que o alvo voe pelo ar sem asas.
- O sujeito tem controle total de seu próprio voo (a menos, é claro, que o teste de habilidade tenha sido falho) e tem um Movimento de 10, reduzido normalmente pelo peso (Isso corresponde a uma velocidade de 32 km/h, se você conseguir sustentá-la). </t>
  </si>
  <si>
    <t xml:space="preserve">
- Um personagem Voador pode se mover e lutar normalmente e tem vantagem em combate se estiver acima de seus inimigos.</t>
  </si>
  <si>
    <t>Tapete Mágico</t>
  </si>
  <si>
    <t>Área ocupada pelo tapete</t>
  </si>
  <si>
    <t>Até o pouso</t>
  </si>
  <si>
    <t xml:space="preserve">
- Transforma um tapete (ou qualquer outro objeto sobre o qual alguém possa razoavelmente ficar em pé ou dentro dele - caldeirão, cadeira, toalha, vassoura, etc.) em um veículo voador.
- Ele fica sob o comando da primeira pessoa a entrar nele. Se houver vários seres já a bordo quando a magia for lançada, role um Teste de Vontades para ver quem fica com o controle; o conjurador (se estiver a bordo) tem +5.
- Se o piloto sair do veículo, role outro Teste de Vontades entre os passageiros restantes para ver quem fica com o controle.
- A velocidade máxima do veículo é dada pela habilidade efetiva do conjurador (em Hex por turno) e ele pode percorrer 10 Hex turnos sem exigir testes de habilidade.
- Use o NH da própria magia para velociades maiores.
- O piloto geralmente segura a borda frontal do veículo e a usa como se estivesse segurando as rédeas.
- Ele também pode ficar em pé e pilotá-lo usando o peso do corpo, de forma semelhante a um surfista ou esquiador - com uma penalidade de -2.
- Mestres generosos podem estipular que, após o conjurador cancelar
a magia, o veículo permaneça no ar por 2d6+2 turnos, oscilando cada vez mais a cada instante. Isso às vezes permite um pouso seguro, ainda que turbulento.</t>
  </si>
  <si>
    <t xml:space="preserve">
- Em geral, não se pode cair de um veículo voador a menos que se pule deliberadamente ou seja derrubado por um obstáculo (como um galho de árvore) ou em combate; o veículo mantém seus passageiros em segurança a bordo por meio de uma combinação de magia e manobras hábeis.
- Um veículo voador não inclina bruscamente, dobra ou se curva; a magia fornece especificamente uma plataforma estável e nivelada (o que torna voar por espaços estreitos bastante difícil).
- Qualquer passageiro envolvido em atividade muito extenuante, como lutar, deve fazer um teste de DX a cada turno para evitar cair (o GM pode modificar este teste dependendo da atividade).
- Além disso, considere qualquer pessoa lutando de um veículo voador como estando no chão.
- Combatentes que miram armas de projéteis de um veículo em movimento só podem receber o bônus de Precisão; mirar para obter turnos extras não concede nenhum bônus adicional.
- É claro que alguém lutando de uma vassoura ou cadeira voadora estaria sujeito às penalidades usuais por estar sentado.
- Combates aéreos com veículos voadores (divertidos para campanhas de High Fantasy, bobos em outros casos) geralmente se resumem a duelos de arco e flecha cautelosos e de longo alcance ou a disputas acirradas de esgrima em curta distância, com tentativas ocasionais e furtivas de destruir o veículo do oponente.
- Um tapete, tapeçaria ou cortina pesada bem-feita tem RD 1; 3 pontos de dano de fogo destruirão um metro quadrado dele, enquanto 3 pontos de dano de corte farão um corte de 1 metro nele.
- Tapetes são efetivamente imunes a ataques de esmagamento ou empalamento. Um lençol de seda teria RD 0; um ponto de dano de fogo destruiria um metro quadrado dele, enquanto um ponto de dano de corte faria um corte de 1 metro nele.
</t>
  </si>
  <si>
    <t>PSI-0000</t>
  </si>
  <si>
    <t>Psiquemancia</t>
  </si>
  <si>
    <t>Sentir Emoção</t>
  </si>
  <si>
    <t xml:space="preserve">
- Permite ao conjurador saber quais emoções o sujeito está sentindo no
momento.</t>
  </si>
  <si>
    <t xml:space="preserve">
- Funciona em qualquer ser vivo, mas não é muito útil, exceto em criaturas inteligentes!</t>
  </si>
  <si>
    <t>Profeta da Verdade</t>
  </si>
  <si>
    <t>Clarividência</t>
  </si>
  <si>
    <t xml:space="preserve">
- Indica se o alvo está mentindo ou não. Pode ser conjurado de duas maneiras:
    - Para dizer se o alvo contou alguma mentira nos últimos cinco minutos;
    - Para dizer se a última coisa que o alvo disse foi mentira. 
</t>
  </si>
  <si>
    <t>- Também pode indicar a gravidade da mentira.</t>
  </si>
  <si>
    <t>Obrigar a Verdade</t>
  </si>
  <si>
    <t xml:space="preserve">
- Moldar Mana
- Profeta da Verdade</t>
  </si>
  <si>
    <t xml:space="preserve">
- O alvo torna-se incapaz de mentir, embora possa permanecer em silêncio ou dizer verdades parciais (isso deve ser interpretado).
- O feitiço não o força a fornecer informações voluntariamente; ele simplesmente não pode fazer nenhuma declaração que acredite ser falsa.</t>
  </si>
  <si>
    <t>Obrigar a Mentir</t>
  </si>
  <si>
    <t xml:space="preserve">
- O alvo torna-se incapaz de dizer a verdade.
- Ele não consegue fazer nenhuma declaração que acredite ser verdadeira e, na verdade, sentir-se compelido a contar mentiras, embora possa (se perceber que está sob um feitiço) optar por permanecer em silêncio.</t>
  </si>
  <si>
    <t>Ler Pensamentos</t>
  </si>
  <si>
    <t>Busca</t>
  </si>
  <si>
    <t xml:space="preserve">
- Permite ao conjurador ler a mente do alvo.
- Funciona em qualquer ser vivo, mas é mais útil em criaturas inteligentes.
- Detecta apenas pensamentos superficiais (o que o alvo está pensando naquele momento).
- O alvo não tem consciência de que sua mente está sendo lida, exceto em caso de falha crítica.</t>
  </si>
  <si>
    <t xml:space="preserve">
- Modificadores: 
    - -2 na perícia se o conjurador não conhece o idioma nativo do alvo;
    - -2 se o alvo for de uma raça diferente;
    - -4 ou mais se o alvo for totalmente alienígena!</t>
  </si>
  <si>
    <t>Proteger Pensamentos</t>
  </si>
  <si>
    <t xml:space="preserve">
- Este feitiço resistirá a qualquer tipo de magia de leitura mental ou controle mental usada contra o alvo. 
- A magia "atacante" deve primeiro superar a Resistência desta magia e, em seguida (em uma rolagem separada), o IQ do alvo.</t>
  </si>
  <si>
    <t xml:space="preserve">
- Este feitiço não afetará o controle mental que já tenha sido estabelecido.</t>
  </si>
  <si>
    <t>Procurar na Mente</t>
  </si>
  <si>
    <t xml:space="preserve">
- Moldar Mana
- Ler Pensamentos</t>
  </si>
  <si>
    <t>- +5 de Mana para cada 1 minuto adicional.</t>
  </si>
  <si>
    <t xml:space="preserve">
- Permite ao conjurador vasculhar a mente do sujeito para encontrar pensamentos profundos e conhecimento sobre coisas que o sujeito não está pensando no momento.
- Na prática, o conjurador pode fazer uma pergunta simples (respondida com no máximo dez palavras) por minuto e obter a resposta mais sincera que o sujeito puder dar.
- O sujeito não tem consciência da intrusão, exceto em caso de falha crítica.</t>
  </si>
  <si>
    <t xml:space="preserve">
- A linguagem não é uma barreira para este feitiço, e o alvo pode até estar dormindo.
- Alvos de raças diferentes serão mais difíceis de sondar mentalmente, a critério do Mestre.</t>
  </si>
  <si>
    <t>- +4 de Mana para cada 1 minuto adicional.</t>
  </si>
  <si>
    <t>- +3 de Mana para cada 1 minuto adicional.</t>
  </si>
  <si>
    <t>- +2 de Mana para cada 1 minuto adicional.</t>
  </si>
  <si>
    <t>Transmissão via Mente</t>
  </si>
  <si>
    <t>Comunicação</t>
  </si>
  <si>
    <t>Até o fim da mensagem.</t>
  </si>
  <si>
    <t xml:space="preserve">
- Comunicação unidirecional: permite que o conjurador envie seus pensamentos ao sujeito.
- Isso ocorre apenas na velocidade da fala, embora imagens simples também possam ser enviadas (o tempo necessário é igual ao tempo que o sujeito leva para copiar a imagem em papel ou pergaminho).</t>
  </si>
  <si>
    <t xml:space="preserve">
- Se o conjurador e o alvo não se conhecem, há uma penalidade adicional de -4.</t>
  </si>
  <si>
    <t>Telepatia</t>
  </si>
  <si>
    <t xml:space="preserve">
- Moldar Mana
- Ler Pensamentos
- Transmissão via Mente</t>
  </si>
  <si>
    <t xml:space="preserve">
- Comunicação bidirecional completa, como Ler Pensamentos e Transmissão via Mente combinadas.
- O sujeito deve estar disposto. Tanto o conjurador quanto o alvo conhecem todos os pensamentos um do outro e cada um sabe o que o outro está vivenciando; eles se comunicam na velocidade do pensamento.
- Outras pessoas podem "entrar na conexão" — uma nova conjuração da magia (por qualquer pessoa envolvida) é necessária para cada nova pessoa entrar.
- Para espionar uma conexão telepática existente sem ser notado, há uma penalidade de -4 na habilidade.</t>
  </si>
  <si>
    <t xml:space="preserve">
- Se o conjurador e o alvo se conhecem e o alvo espera o "chamado", não há penalidade de distância.
- Caso contrário, aplica-se a mesma penalidade de Transmissão via Mente, descrita acima.
- No entanto, a magia não funciona através do tempo, dimensões, espaço interplanetário, etc.</t>
  </si>
  <si>
    <t>Cavaleiro da Alma</t>
  </si>
  <si>
    <t xml:space="preserve">
- O conjurador torna-se capaz de ver através dos olhos do alvo, ouvir através de seus ouvidos, etc., sempre que se concentra. 
- O conjurador também permanece consciente de seu próprio corpo e pode agir normalmente.
- O conjurador não exerce nenhum controle sobre o alvo e não conhece seus pensamentos.
- O alvo deve ser inteligente (IQ 7 ou superior).
- A habilidade é reduzida em -2 se o alvo for de uma raça diferente; se o alvo for totalmente alienígena, -4 ou mais!</t>
  </si>
  <si>
    <t>Esquecer</t>
  </si>
  <si>
    <t>Memória</t>
  </si>
  <si>
    <t xml:space="preserve">
- Faz com que o alvo esqueça temporariamente um fato, habilidade ou magia.
- A habilidade ou magia não pode ser usada enquanto a magia estiver em efeito.</t>
  </si>
  <si>
    <t xml:space="preserve">
- Se (por exemplo) a magia for um pré-requisito para outras magias, as outras magias ainda podem ser usadas, com -2 de NH.</t>
  </si>
  <si>
    <t>Esquecer Permanentemente</t>
  </si>
  <si>
    <t xml:space="preserve">
- Moldar Mana
- Ler Pensamentos
- Esquecer</t>
  </si>
  <si>
    <t>Permanente</t>
  </si>
  <si>
    <t xml:space="preserve">
- Como acima, mas permanente. 
- O sujeito também esquece que um dia soube daquilo ou que estava enfeitiçado. 
</t>
  </si>
  <si>
    <t xml:space="preserve">
- Outro mago com este feitiço pode restaurar coisas esquecidas conjurando o feitiço novamente e vencendo uma Competição de NH com o feitiço original Esquecer Permanentemente.</t>
  </si>
  <si>
    <t>Memória Falsa</t>
  </si>
  <si>
    <t xml:space="preserve">
- Permite ao conjurador inserir uma única e simples memória falsa na mente do alvo.
- Este feitiço é frequentemente usado para evitar o pagamento de contas e é considerado altamente ilegal em muitas regiões.
- Quando o feitiço termina, o alvo faz um segundo teste de resistência, com -1 para cada dia que o feitiço durou. 
- Se este teste falhar, o alvo acreditará na falsa memória indefinidamente, mas é provável que se lembre da verdade em algum momento imprevisível, talvez como resultado de um choque.</t>
  </si>
  <si>
    <t xml:space="preserve">
- Se a memória implantada entrar em conflito com uma memória real, o cérebro do alvo geralmente se adaptará à nova memória, deixando-o ligeiramente confuso, mas convencido. 
- Em caso de conflito direto extremo — "Você se lembra de matar o duque," (quando o alvo viu o conjurador matar o duque!) — o alvo deve receber um bônus em seu teste de resistência;
- O exemplo acima seria um bônus de +5 para um alvo leal, mas provavelmente apenas +1 para alguém que queria matar o duque.</t>
  </si>
  <si>
    <t>Alucinação</t>
  </si>
  <si>
    <t xml:space="preserve">
- As percepções do alvo estão confusas.
- Ele está completamente convencido de que uma coisa que não está presente está (ou vice-versa); ele pode vê-la, ouvi-la, senti-la e assim por diante.
- Isso é semelhante a ilusões em alguns aspectos, mas existe inteiramente na mente do alvo.</t>
  </si>
  <si>
    <t xml:space="preserve">
- A alucinação deve se referir à presença ou ausência de uma única "coisa": uma pessoa que o sujeito conhece ou conheceu, uma multidão de foliões, um par de grilhões nos pulsos do sujeito, um bando de leões...
- Se puder ser descrita como uma única entidade em português (sem grandes malabarismos com vocabulário), então deve ser aprovada. O julgamento do Mestre é final, como de costume.
- A alucinação não exige concentração: o alvo fornece, inconscientemente, todo o "realismo" necessário.
- Alucinações impossíveis ou obviamente falsas (um tio falecido há muito tempo, por exemplo) são resistidas com um bônus de até +5.</t>
  </si>
  <si>
    <t>Grande Alucinação</t>
  </si>
  <si>
    <t xml:space="preserve">
- Moldar Mana
- Ler Pensamentos
- Alucinação</t>
  </si>
  <si>
    <t xml:space="preserve">
- Semelhante à Alucinação, mas todo o ambiente do sujeito pode ser falsificado.
- Ele pode se ver preso na beira de um penhasco, em uma rua movimentada da cidade, no meio de um lago, etc.
- Os únicos limites são a perspicácia da imaginação do conjurador e o julgamento do Mestre.</t>
  </si>
  <si>
    <t xml:space="preserve">
- Para que ocorram mudanças significativas no ambiente imaginário, é necessária a concentração por parte do conjurador, como mencionado anteriormente.
- Se o conjurador alterar drasticamente as percepções do alvo, o alvo poderá fazer um novo teste de resistência, a critério do Mestre. 
    - Exemplo: o alvo é "colocado" no topo de um pilar gigante de pedra sobre um lago de lava derretida.
    - Ao se concentrar, o conjurador poderia fazer com que o pilar começasse a afundar sob os pés do alvo ou fazer com que um monstro voador aparecesse.
    - Se o conjurador decidisse repentinamente que o lago de lava se transformou em um prado verde, o alvo faria um novo teste de resistência.</t>
  </si>
  <si>
    <t>Fascinar</t>
  </si>
  <si>
    <t xml:space="preserve">
 - Irá manter o alvo (um ser inteligente) imóvel e inconsciente da passagem do tempo enquanto o conjurador mantiver contato visual e concentração.
- Observe que a escuridão quebra o contato visual!
- Esta magia pode ser conjurada como uma magia de Bloqueio se o alvo estiver entrando no hexágono do conjurador.
</t>
  </si>
  <si>
    <t xml:space="preserve">
- A magia também é quebrada por qualquer ataque (físico ou mágico) contra o alvo.</t>
  </si>
  <si>
    <t xml:space="preserve">
- O conjurador pode se mover lentamente enquanto mantém contato visual; cada hexágono de distância do alvo que ele se mover permite a ele outro teste de resistência para quebrar a magia.
- A magia também é quebrada por qualquer ataque (físico ou mágico) contra o alvo.</t>
  </si>
  <si>
    <t>Encantar</t>
  </si>
  <si>
    <t xml:space="preserve">
- Moldar Mana
- Fascinar
- Entreter ou Trovador</t>
  </si>
  <si>
    <t xml:space="preserve">
- O conjurador conta uma história fascinante. 
- Qualquer um ao alcance da voz que conheça o idioma e preste atenção cai sob o feitiço, resistindo com IQ.
- Para cada minuto que os alvos ouvem o conjurador, uma hora de tempo real se passa.
- Qualquer um que resistir perceberá o conjurador e suas vítimas como paralisados, embora um exame prolongado revele que eles estão se movendo muito lentamente.
- Qualquer indivíduo que for atacado ou sacudido se liberta do feitiço (neste último caso, a vítima recebe um teste de resistência extra para cada turno em que for perturbada).</t>
  </si>
  <si>
    <t xml:space="preserve">
- Esta magia nunca poderá ser conjurada em um nível superior à habilidade de Trovador do conjurador.
- Um método alternativo de conjuração é mimetizar a história fascinante; a magia fica então limitada pela NH do feitiço Entreter do conjurador.</t>
  </si>
  <si>
    <t>Êxtase</t>
  </si>
  <si>
    <t xml:space="preserve">
- O alvo sente uma onda incapacitante de prazer; ele não consegue fazer nada durante esse período, nem mesmo para se afastar do perigo!
- Os limiares de dor alto/baixo são irrelevantes.</t>
  </si>
  <si>
    <t xml:space="preserve">
- A exposição repetida a este feitiço pode ser perigosa para o alvo.
- Qualquer pessoa que tenha sido alvo de um feitiço de Êxtase três vezes em dez dias deve fazer um teste de Vontade +2 após a terceira vez e após cada vez subsequente até que se passem 5 dias sem exposição ao feitiço.
- Se algum desses testes falhar, o alvo adquire a desvantagem Vício total ao feitiço e implorará ao conjurador (ou a qualquer outra pessoa que ele saiba que possui o feitiço) por mais!
- O vício segue as regras normais, exceto que a abstinência causa a perda deIQ em vez de HT (que se "curará" na mesma taxa que os pontos de vida perdidos assim que o vício for removido ou a exposição for retomada).
- Uma vítima viciada nunca tentará resistir!</t>
  </si>
  <si>
    <t>Enlouquecer</t>
  </si>
  <si>
    <t xml:space="preserve">
- O sujeito fica temporariamente insano. Se o sujeito for um personagem jogador, ele deve interpretar sua loucura. 
- Role um dado por sujeito para determinar a natureza da loucura:
    - 1:  Berserk: Ataques violentos contra as pessoas mais próximas.
    - 2: Catatônico: Olha fixamente para o nada e não faz nada de útil. Se o sujeito for um mago, ele não manterá suas magias à medida que expirarem.
    - 3: Fóbico: O sujeito tem um medo violento de algo no ambiente imediato. O GM pode aceitar a primeira sugestão dos jogadores.
    - 4: Hebefrênico: O sujeito está "maluco", rindo, brincando e dando risadinhas. Se confrontado com perigo, há 50% de chance de sua reação ser útil e 50% de chance de ser aleatória e boba.
     - 5: O alvo escolhe um dos quatro tipos de loucura.
     - 6: O conjurador escolhe um dos quatro tipos de loucura.</t>
  </si>
  <si>
    <t>Enlouquecer Permanentemente</t>
  </si>
  <si>
    <t xml:space="preserve">
- Igual o feitiço Enlouquecer, mas permanente.</t>
  </si>
  <si>
    <t>Medo</t>
  </si>
  <si>
    <t xml:space="preserve">
- O(s) alvo(s) sente(m) medo. Um alvo que não resistir deve fazer um teste de reação com -3 OU +3; o GM decide se aquele alvo em particular terá uma reação "melhor" ou "pior" por estar assustado.
- Um inimigo pode se render ou atacar furiosamente; um mercador pode se sentir intimidado ou ordenar que você vá embora. Portanto, esta magia é arriscada! Um alvo que resistir ficará enfurecido.</t>
  </si>
  <si>
    <t xml:space="preserve">
- Os alvos sujeitos a esta magia podem ser obrigados a fazer um Teste de Medo, com -3, em vez de um teste de reação.</t>
  </si>
  <si>
    <t>Pânico</t>
  </si>
  <si>
    <t xml:space="preserve">
- Aqueles na área afetada fogem em pânico irracional do conjurador durante a duração da magia. Um alvo que não consegue escapar pode se virar e usar a manobra Defesa Total, caso seja atacado.</t>
  </si>
  <si>
    <t>Bravura</t>
  </si>
  <si>
    <t xml:space="preserve">
- Torna o(s) sujeito(s) destemido(s).
- Qualquer pessoa sob este feitiço deve fazer um teste de IQ para evitar ser corajosa, caso seja necessário cautela.</t>
  </si>
  <si>
    <t>Berserker</t>
  </si>
  <si>
    <t xml:space="preserve">
- Faz com que o alvo lute como um berserker (veja a desvantagem Fúria).
- Se inimigos conhecidos estiverem à vista (ou mesmo ao alcance da audição), eles serão atacados primeiro.</t>
  </si>
  <si>
    <t xml:space="preserve">
- Caso não existam inimigos do alvo nas proximidades, devem ser realizados testes de Vontade para determinar um novo alvo:
    - Recebe +5 no teste se houver apenas criaturas neutras próximas;
    - Recebe +10 no teste se houver apenas aliados próximos.
- Em caso de falha no teste, o alvo atacará as criaturas disponíveis (neutras ou aliados, conforme o caso).</t>
  </si>
  <si>
    <t xml:space="preserve">
- Caso não existam inimigos do alvo nas proximidades, devem ser realizados testes de Vontade para determinar um novo alvo:
    - Recebe +4 no teste se houver apenas criaturas neutras próximas;
    - Recebe +9 no teste se houver apenas aliados próximos.
- Em caso de falha no teste, o alvo atacará as criaturas disponíveis (neutras ou aliados, conforme o caso).</t>
  </si>
  <si>
    <t xml:space="preserve">
- Caso não existam inimigos do alvo nas proximidades, devem ser realizados testes de Vontade para determinar um novo alvo:
    - Recebe +3 no teste se houver apenas criaturas neutras próximas;
    - Recebe +8 no teste se houver apenas aliados próximos.
- Em caso de falha no teste, o alvo atacará as criaturas disponíveis (neutras ou aliados, conforme o caso).</t>
  </si>
  <si>
    <t xml:space="preserve">
- Caso não existam inimigos do alvo nas proximidades, devem ser realizados testes de Vontade para determinar um novo alvo:
    - Recebe +2 no teste se houver apenas criaturas neutras próximas;
    - Recebe +7 no teste se houver apenas aliados próximos.
- Em caso de falha no teste, o alvo atacará as criaturas disponíveis (neutras ou aliados, conforme o caso).</t>
  </si>
  <si>
    <t>5 turnos</t>
  </si>
  <si>
    <t>Sono Tranquilo</t>
  </si>
  <si>
    <t>Sono</t>
  </si>
  <si>
    <t>8 Horas</t>
  </si>
  <si>
    <t xml:space="preserve">
- O alvo terá uma noite de sono tranquila. Este feitiço cura insônia, permite dormir em ambientes barulhentos e perturbadores e protege contra pesadelos e o feitiço Pesadelo.
- O conjurador pode despertar o alvo com uma palavra. 
- Caso contrário, o alvo não pode ser despertado, exceto por ferimento, situação de perigo ou pelo feitiço Despertar.</t>
  </si>
  <si>
    <t xml:space="preserve">
- Este feitiço só funcionará em um sujeito disposto; caso contrário, a resistência é automática.
- O sono tranquilo permite recuperação elevada de PV e Mana, conforme a região que o alvo se encontra:
    - Zona de Mana Baixa: 1 de PV e 2 Mana;
    - Zona de Mana Média: 2 de PV e 4 de Mana;
    - Zona de Mana Alta: 3 de PV e 6 Mana;
    - Zona de Mana Morta: 1 de PV.
</t>
  </si>
  <si>
    <t xml:space="preserve">
- Este feitiço só funcionará em um sujeito disposto; caso contrário, a resistência é automática.
- O sono tranquilo permite recuperação elevada de PV e Mana, conforme a região que o alvo se encontra:
    - Zona de Mana Baixa: 2 de PV e 2 Mana;
    - Zona de Mana Média: 3 de PV e 4 de Mana;
    - Zona de Mana Alta: 4 de PV e 6 Mana;
    - Zona de Mana Morta: 2 de PV.
</t>
  </si>
  <si>
    <t xml:space="preserve">
- Este feitiço só funcionará em um sujeito disposto; caso contrário, a resistência é automática.
- O sono tranquilo permite recuperação elevada de PV e Mana, conforme a região que o alvo se encontra:
    - Zona de Mana Baixa: 2 de PV e 4 Mana;
    - Zona de Mana Média: 3 de PV e 6 de Mana;
    - Zona de Mana Alta: 4 de PV e 8 Mana;
    - Zona de Mana Morta: 2 de PV.
</t>
  </si>
  <si>
    <t xml:space="preserve">
- Este feitiço só funcionará em um sujeito disposto; caso contrário, a resistência é automática.
- O sono tranquilo permite recuperação elevada de PV e Mana, conforme a região que o alvo se encontra:
    - Zona de Mana Baixa: 4 de PV e 4 Mana;
    - Zona de Mana Média: 6 de PV e 6 de Mana;
    - Zona de Mana Alta: 8 de PV e 8 Mana;
    - Zona de Mana Morta: 4 de PV.
</t>
  </si>
  <si>
    <t xml:space="preserve">
- Este feitiço só funcionará em um sujeito disposto; caso contrário, a resistência é automática.
- O sono tranquilo permite recuperação elevada de PV e Mana, conforme a região que o alvo se encontra:
    - Zona de Mana Baixa: 4 de PV e 8 Mana;
    - Zona de Mana Média: 6 de PV e 12 de Mana;
    - Zona de Mana Alta: 8 de PV e 16 Mana;
    - Zona de Mana Morta: 4 de PV.
</t>
  </si>
  <si>
    <t>Pesadelo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</si>
  <si>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2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</si>
  <si>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x 5), a menos que o feitiço seja quebrado.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</si>
  <si>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3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</si>
  <si>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x 4), a menos que o feitiço seja quebrado.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</si>
  <si>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4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</si>
  <si>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x 3), a menos que o feitiço seja quebrado.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</si>
  <si>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5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</si>
  <si>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x 2), a menos que o feitiço seja quebrado.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</si>
  <si>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6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</si>
  <si>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a menos que o feitiço seja quebrado.</t>
  </si>
  <si>
    <t>Vigília</t>
  </si>
  <si>
    <t xml:space="preserve">
- Permite que o alvo perca uma noite de sono sem efeitos negativos.
- Se usada novamente sem que o alvo tenha dormido de maneira natural, tem um redutor de -5 ao ser usada neste.
- O redutor é cumulativo, ou seja, para cada dia que é usado em um mesmo alvo sem que este tenha dormido de maneira natural, adiciona-se -1 ao redutor neste.</t>
  </si>
  <si>
    <t xml:space="preserve">
- A vigília permite recuperação de PV e Mana, conforme a região que o alvo se encontra:
    - Zona de Mana Baixa: 0 de PV e 1 Mana;
    - Zona de Mana Média: 1 de PV e 2 de Mana;
    - Zona de Mana Alta: 2 de PV e 3 Mana;
    - Zona de Mana Morta: 0 de PV.
</t>
  </si>
  <si>
    <t xml:space="preserve">
- A vigília permite recuperação de PV e Mana, conforme a região que o alvo se encontra:
    - Zona de Mana Baixa: 1 de PV e 2 Mana;
    - Zona de Mana Média: 2 de PV e 3 de Mana;
    - Zona de Mana Alta: 3 de PV e 4 Mana;
    - Zona de Mana Morta: 1 de PV.
</t>
  </si>
  <si>
    <t xml:space="preserve">
- Permite que o alvo perca uma noite de sono sem efeitos negativos.
- Se usada novamente sem que o alvo tenha dormido de maneira natural, tem um redutor de -4 ao ser usada neste.
- O redutor é cumulativo, ou seja, para cada dia que é usado em um mesmo alvo sem que este tenha dormido de maneira natural, adiciona-se -1 ao redutor neste.</t>
  </si>
  <si>
    <t xml:space="preserve">
- A vigília permite recuperação de PV e Mana, conforme a região que o alvo se encontra:
    - Zona de Mana Baixa: 2 de PV e 3 Mana;
    - Zona de Mana Média: 3 de PV e 4 de Mana;
    - Zona de Mana Alta: 4 de PV e 5 Mana;
    - Zona de Mana Morta: 2 de PV.
</t>
  </si>
  <si>
    <t xml:space="preserve">
- A vigília permite recuperação de PV e Mana, conforme a região que o alvo se encontra:
    - Zona de Mana Baixa: 3 de PV e 4 Mana;
    - Zona de Mana Média: 4 de PV e 5 de Mana;
    - Zona de Mana Alta: 5 de PV e 6 Mana;
    - Zona de Mana Morta: 3 de PV.
</t>
  </si>
  <si>
    <t xml:space="preserve">
- Permite que o alvo perca uma noite de sono sem efeitos negativos.
- Se usada novamente sem que o alvo tenha dormido de maneira natural, tem um redutor de -3 ao ser usada neste.
- O redutor é cumulativo, ou seja, para cada dia que é usado em um mesmo alvo sem que este tenha dormido de maneira natural, adiciona-se -1 ao redutor neste.</t>
  </si>
  <si>
    <t xml:space="preserve">
- A vigília permite recuperação de PV e Mana, conforme a região que o alvo se encontra:
    - Zona de Mana Baixa: 4 de PV e 5 Mana;
    - Zona de Mana Média: 5 de PV e 6 de Mana;
    - Zona de Mana Alta: 6 de PV e 7 Mana;
    - Zona de Mana Morta: 4 de PV.
</t>
  </si>
  <si>
    <t>Adormecer</t>
  </si>
  <si>
    <t>Área ocupada pela alvo</t>
  </si>
  <si>
    <t xml:space="preserve">
- O alvo adormece.
- Se estiver de pé, cai no chão; a queda não o acorda.
- Ele pode ser despertado por um golpe, barulho alto, etc., mas ficará mentalmente "atordoado" e deverá fazer um teste de IQ para ficar totalmente acordado. </t>
  </si>
  <si>
    <t xml:space="preserve">
- A magia Despertar despertará o alvo instantaneamente.</t>
  </si>
  <si>
    <t>6 horas</t>
  </si>
  <si>
    <t>9 horas</t>
  </si>
  <si>
    <t>Adormecer em Massa</t>
  </si>
  <si>
    <t xml:space="preserve">
- Moldar Mana
- Adormecer</t>
  </si>
  <si>
    <t xml:space="preserve">
- Igual o feitiço Adormecer, mas em área.</t>
  </si>
  <si>
    <t xml:space="preserve">
- A magia Despertar despertará os alvos instantaneamente.</t>
  </si>
  <si>
    <t>Despertar</t>
  </si>
  <si>
    <t xml:space="preserve">
- Deixa o(s) alvo(s) acordado(s) e alerta(s); neutraliza instantaneamente os efeitos de atordoamento ou de feitiços do tipo Sono.</t>
  </si>
  <si>
    <t xml:space="preserve">
- Os alvos devem fazer um teste de HT para despertar, com um bônus igual ao valor pelo qual o teste do feitiço foi bem-sucedido.
- Um alvo rola com -3 se estava inconsciente devido a ferimentos; -6 se estava drogado.
</t>
  </si>
  <si>
    <t>Sugestão</t>
  </si>
  <si>
    <t xml:space="preserve">
- Instila uma sugestão na mente do alvo.
- Deve ser uma ideia simples; a linguagem não é uma barreira, a menos que a linguagem do alvo não consiga abarcar a ideia. </t>
  </si>
  <si>
    <t xml:space="preserve">
- Se a sugestão for contra a segurança pessoal do sujeito, ela será resistida em +5; se for contra suas crenças, convicções ou conhecimento, será resistida em +3.
-  O sujeito tentará realizar a sugestão ou agir como se a ideia fosse sua.</t>
  </si>
  <si>
    <t>Sugestão em Massa</t>
  </si>
  <si>
    <t xml:space="preserve">
- Moldar Mana
- Sugestão</t>
  </si>
  <si>
    <t xml:space="preserve">
- Como o feitiço Sugestão, mas afeta uma área e todos aqueles dentro dela com uma única sugestão.</t>
  </si>
  <si>
    <t>Torpor</t>
  </si>
  <si>
    <t xml:space="preserve">
- O alvo aparenta e age normalmente, mas simplesmente não percebe o que está acontecendo ao seu redor, nem se lembra disso depois. 
- Um guarda atordoado ficará parado em silêncio enquanto um ladrão passa! 
- Qualquer ferimento físico ou resistência bem-sucedida a uma magia faz com que o sujeito saia do torpor e retorne ao seu estado de alerta total.</t>
  </si>
  <si>
    <t>Torpor em Massa</t>
  </si>
  <si>
    <t xml:space="preserve">
- Moldar Mana
- Torpor em Massa</t>
  </si>
  <si>
    <t xml:space="preserve">
- Igual o feitiço Topor, mas em área.</t>
  </si>
  <si>
    <t>Bebedeira</t>
  </si>
  <si>
    <t xml:space="preserve">
- Faz o alvo sentir-se mal e enjoado (tontura, vômito, etc.).
- Ele pode correr se necessário (à metade da velocidade), mas não pode fazer mais nada além de manter os feitiços existentes e dar respostas muito simples. 
- Quando o feitiço passa, o mal-estar desaparece instantaneamente.</t>
  </si>
  <si>
    <t>Adoeçer</t>
  </si>
  <si>
    <t>Desorientar</t>
  </si>
  <si>
    <t xml:space="preserve">
- Os alvos podem recuperar a sua orientação da maneira habitual (rolamento de navegação, consulta entre si, retrocesso, etc.).</t>
  </si>
  <si>
    <t xml:space="preserve">
- Todos os seres dentro da área perdem a noção de direção.
- Eles não se sentirão perdidos imediatamente, mas assim que precisarem se lembrar do caminho que percorreram ou de sua posição em relação a um ponto de referência, ficarão sem saber o que fazer.
- Aqueles com Direção Absoluta resistem com +5.</t>
  </si>
  <si>
    <t>Controle Emocional</t>
  </si>
  <si>
    <t xml:space="preserve">
- Infunde no(s) alvo(s) qualquer emoção escolhida pelo conjurador.
- Não há efeito de "sistema de jogo", a menos que o Mestre julgue necessário, mas os sujeitos devem interpretá-la!
- Alguns exemplos de emoções: amor, ódio, luxúria, raiva, ganância, ciúme, fome, medo, tristeza, alegria, paz, inquietação, depressão, patriotismo, tédio.</t>
  </si>
  <si>
    <t>Obrigação</t>
  </si>
  <si>
    <t>Até o cumprimento da obrigação</t>
  </si>
  <si>
    <t xml:space="preserve">
- Permite que o conjurador dê ao alvo um comando, que o alvo deve obedecer.
- Este comando deve ser para fazer uma coisa específica.
- Deve ser razoavelmente possível na opinião do Mestre. "Destrua todas as árvores deste continente" não é uma obrigação legal (pelo menos em um mundo de baixa tecnologia).
</t>
  </si>
  <si>
    <t xml:space="preserve">
- Até que a obrigação seja cumprida ou removida (apenas Remover Maldição fará isso), o alvo deve torná-la sua prioridade máxima.</t>
  </si>
  <si>
    <t>Obrigação Permanente</t>
  </si>
  <si>
    <t xml:space="preserve">
- Moldar Mana
- Obrigação</t>
  </si>
  <si>
    <t xml:space="preserve">
- Permite ao conjurador dar ao alvo uma ordem contínua, como "Nunca toque em armas" ou "Mate todos os orcs".
- Uma geas maior não precisa ser razoavelmente possível; ela pode ocupar o alvo pelo resto da vida, a menos que seja removida.</t>
  </si>
  <si>
    <t xml:space="preserve">
- Somente Remover Maldição anulará uma obrigação.
- Uma falha crítica em uma obrigação maior custará ao conjurador um ponto de IQ.</t>
  </si>
  <si>
    <t>Comando</t>
  </si>
  <si>
    <t xml:space="preserve">
- Permite ao conjurador dar ao alvo uma ordem imediata, que o alvo obedecerá. 
- Se o alvo não puder cumprir a ordem em seu próximo turno (ou no atual), a magia não terá efeito.</t>
  </si>
  <si>
    <t>Exemplos de comandos: 
- "Espere!" - o sujeito realiza a manobra de Aguardar em seu próximo turno; 
- "Olhe!" - o sujeito olha na direção indicada pelo conjurador; 
- "Solte!" - o sujeito solta o que estiver segurando.</t>
  </si>
  <si>
    <t>Voto</t>
  </si>
  <si>
    <t xml:space="preserve">
- Semelhante à Grande Obrigação, mas funciona apenas em um sujeito disposto.
- Embora o feitiço seja lançado pelo conjurador, o juramento em si deve ser proferido pelo alvo.</t>
  </si>
  <si>
    <t xml:space="preserve">
- O alvo pode tentar quebrar seu juramento conscientemente no máximo uma vez por dia.
- O feitiço resiste à tentativa; se o alvo superar a resistência, ele consegue quebrar o juramento apenas desta vez.
- Um sucesso crítico do alvo ou uma falha crítica do feitiço o quebra.
- O feitiço só pode ser quebrado por Remover Maldição.
- Tentativas inconscientes, como quando o sujeito é enganado para quebrar seu juramento, não são resistidas pelo feitiço.</t>
  </si>
  <si>
    <t>Lealdade</t>
  </si>
  <si>
    <t xml:space="preserve">
- Moldar Mana
- Comando</t>
  </si>
  <si>
    <t xml:space="preserve">
- Torna o alvo leal ao conjurador.
- O alvo seguirá qualquer ordem direta que o conjurador der; na ausência de ordens diretas, ele agirá no melhor interesse do conjurador, conforme o seu entendimento.
- O feitiço é imediatamente quebrado se o conjurador atacar o alvo.
- Se o alvo for instruído a fazer algo muito perigoso ou contrário ao seu código de conduta normal (decisão do Mestre), ele faz um teste de IQ para quebrar o feitiço.</t>
  </si>
  <si>
    <t>- Remover Maldição anulará a lealdade.</t>
  </si>
  <si>
    <t>Escravizar</t>
  </si>
  <si>
    <t xml:space="preserve">
 - O sujeito torna-se um escravo fiel do conjurador até o término do feitiço, seguindo quaisquer ordens, por mais perigosas que sejam. Não há vínculo mental.
- O conjurador deve dar suas ordens ao sujeito verbalmente ou por escrito.
- No entanto, o sujeito protegerá o conjurador sem ordens.
- Em todos os outros aspectos, o sujeito será mentalmente normal e alerta.
- Ele será incapaz de explicar (e relutante em discutir ou mesmo pensar sobre) sua lealdade ao conjurador.</t>
  </si>
  <si>
    <t>- Remover Maldição anulará a escravidão.</t>
  </si>
  <si>
    <t>Escravizar Permanente</t>
  </si>
  <si>
    <t xml:space="preserve">
- Moldar Mana
- Obrigação
- Escravizar</t>
  </si>
  <si>
    <t xml:space="preserve">
- Semelhante ao feitiço Encantar, mas permanente.
- O alvo seguirá as ordens do conjurador até que a magia termine ou seja removida.
- A qualquer momento em que o conjurador se concentrar, poderá formar uma ligação mental com o alvo para ver através dos olhos do alvo, ouvir através de seus ouvidos e dar ordens.</t>
  </si>
  <si>
    <t>Atordoamento Mental</t>
  </si>
  <si>
    <t xml:space="preserve">
- O alvo fica mentalmente atordoado até que consiga fazer um teste de IQ para se recuperar.</t>
  </si>
  <si>
    <t xml:space="preserve">
- Resistido pelo feitiço Despertar.</t>
  </si>
  <si>
    <t>SOM-0000</t>
  </si>
  <si>
    <t>Somatomancia</t>
  </si>
  <si>
    <t xml:space="preserve">
- O alvo sente um leve toque em um local escolhido pelo caster.</t>
  </si>
  <si>
    <t xml:space="preserve">
- O toque pode ser facilmente sentido, mesmo através da armadura, mas não tem outro efeito senão atrair a atenção do alvo; pode não causar dor nem desconforto, embora seja muito provável que distraia este.</t>
  </si>
  <si>
    <t>Coçeira</t>
  </si>
  <si>
    <t xml:space="preserve">
- Moldar Mana
- Toque</t>
  </si>
  <si>
    <t>Até que o alvo gaste um turno se coçando</t>
  </si>
  <si>
    <t xml:space="preserve">
- Faz com que o alvo sinta uma coceira intensa em um local escolhido pelo conjurador.
- O alvo sofrerá DX -2 até que ele gaste um turno inteiro se coçando (mais, se armadura, etc., estiverem no caminho!).</t>
  </si>
  <si>
    <t xml:space="preserve">
- Apenas uma magia Coceira pode afetar qualquer alvo por vez.</t>
  </si>
  <si>
    <t xml:space="preserve">
- Faz com que o alvo sinta uma coceira intensa em um local escolhido pelo conjurador.
- O alvo sofrerá DX -3 até que ele gaste um turno inteiro se coçando (mais, se armadura, etc., estiverem no caminho!).</t>
  </si>
  <si>
    <t xml:space="preserve">
- Faz com que o alvo sinta uma coceira intensa em um local escolhido pelo conjurador.
- O alvo sofrerá DX -4 até que ele gaste um turno inteiro se coçando (mais, se armadura, etc., estiverem no caminho!).</t>
  </si>
  <si>
    <t xml:space="preserve">
- Faz com que o alvo sinta uma coceira intensa em um local escolhido pelo conjurador.
- O alvo sofrerá DX -5 até que ele gaste um turno inteiro se coçando (mais, se armadura, etc., estiverem no caminho!).</t>
  </si>
  <si>
    <t xml:space="preserve">
- Faz com que o alvo sinta uma coceira intensa em um local escolhido pelo conjurador.
- O alvo sofrerá DX -6 até que ele gaste um turno inteiro se coçando (mais, se armadura, etc., estiverem no caminho!).</t>
  </si>
  <si>
    <t>Cócegas</t>
  </si>
  <si>
    <t xml:space="preserve">
- O alvo sente que está recebendo cócegas.
- Se ele não resistir, ele ficará desamparado de tanto rir, sacudindo-se para tentar escapar de seu algoz invisível.
- Ele não será capaz de realizar nenhuma ação e suas defesas ativas estão em -4. </t>
  </si>
  <si>
    <t xml:space="preserve">
- Outro teste de Vontade deve ser necessário para manter o silêncio, se necessário. </t>
  </si>
  <si>
    <t>Espasmo</t>
  </si>
  <si>
    <t xml:space="preserve">
- Pode ser direcionado contra qualquer músculo do alvo.
- Direcionado contra uma mão, faz com que o alvo solte o que estiver segurando (geralmente uma arma).</t>
  </si>
  <si>
    <t xml:space="preserve">
- Conjuradores engenhosos encontrarão outros usos...</t>
  </si>
  <si>
    <t>Dor</t>
  </si>
  <si>
    <t xml:space="preserve">
- O alvo sente uma pontada de dor excruciante.
- Ele deve fazer um teste de IQ para evitar gritar (se isso for relevante).
- Se ele estiver em uma posição precária (escalando, por exemplo), ele deve fazer um teste de DX para evitar uma catástrofe!
- Sua DX e todas as habilidades relacionadas a DX ficam em -2 apenas para o próximo turno.</t>
  </si>
  <si>
    <t xml:space="preserve">
- A Resistência e a Força de Vontade do sujeito se somam a qualquer um dos testes acima.
- Um Limiar de Dor Alto (Hipoalgia) concede +3.</t>
  </si>
  <si>
    <t>Atordoar</t>
  </si>
  <si>
    <t xml:space="preserve">
- Moldar Mana
- Toque
- Dor</t>
  </si>
  <si>
    <t xml:space="preserve">
- O sujeito fica fisicamente atordoado (p. B127) e deve fazer um teste de HT -1 a cada turno para se recuperar.</t>
  </si>
  <si>
    <t xml:space="preserve">
- Se bem sucedido no teste de HT o efeito do feitiço é encerrado.</t>
  </si>
  <si>
    <t xml:space="preserve">
- O sujeito fica fisicamente atordoado (p. B127) e deve fazer um teste de HT -2 a cada turno para se recuperar.</t>
  </si>
  <si>
    <t xml:space="preserve">
- O sujeito fica fisicamente atordoado (p. B127) e deve fazer um teste de HT -3 a cada turno para se recuperar.</t>
  </si>
  <si>
    <t xml:space="preserve">
- O sujeito fica fisicamente atordoado (p. B127) e deve fazer um teste de HT -4 a cada turno para se recuperar.</t>
  </si>
  <si>
    <t xml:space="preserve">
- O sujeito fica fisicamente atordoado (p. B127) e deve fazer um teste de HT -5 a cada turno para se recuperar.</t>
  </si>
  <si>
    <t>Cegueira</t>
  </si>
  <si>
    <t xml:space="preserve">
- Moldar Mana
- Toque
</t>
  </si>
  <si>
    <t xml:space="preserve">
- O alvo fica temporariamente cego; o mais importante é que ele tem -10 para atacar qualquer pessoa fisicamente e não consegue ver alvos para lançar magias.</t>
  </si>
  <si>
    <t>Surdez</t>
  </si>
  <si>
    <t>- O alvo fica temporariamente surdo.</t>
  </si>
  <si>
    <t>Mudez</t>
  </si>
  <si>
    <t>- O alvo fica temporariamente mudo.</t>
  </si>
  <si>
    <t>Desastrar</t>
  </si>
  <si>
    <t xml:space="preserve">
- Moldar Mana
- Toque
- Espasmo</t>
  </si>
  <si>
    <t xml:space="preserve">
- Reduz temporariamente a DX do alvo em 1.
- A capacidade com todas as habilidades baseadas em DX também é reduzida.</t>
  </si>
  <si>
    <t xml:space="preserve">
- Reduz temporariamente a DX do alvo em 2.
- A capacidade com todas as habilidades baseadas em DX também é reduzida.</t>
  </si>
  <si>
    <t xml:space="preserve">
- Reduz temporariamente a DX do alvo em 3.
- A capacidade com todas as habilidades baseadas em DX também é reduzida.</t>
  </si>
  <si>
    <t>Fatigar</t>
  </si>
  <si>
    <t xml:space="preserve">
- Reduz temporariamente a ST do alvo.
- Observe que isso afetará o dano básico do alvo com armas.</t>
  </si>
  <si>
    <t>- Também afeta o peso que ele carrega.</t>
  </si>
  <si>
    <t>Fragilizar</t>
  </si>
  <si>
    <t xml:space="preserve">
- Reduz temporariamente o HT do alvo. Isso afeta a Velocidade Básica, morte, doença, exaustão (corrida, natação), exposição, infecção, derrubada, nocaute, veneno e testes de resistência a magia, incapacitação, recuperação de doença e inconsciência.</t>
  </si>
  <si>
    <t xml:space="preserve">
- Observe que os valores de dano incapacitante (p. B127), atordoamento, derrubada e nocaute são baseados em pontos de vida e, portanto, não são afetados.</t>
  </si>
  <si>
    <t>Olhos Atentos</t>
  </si>
  <si>
    <t>Sensorial</t>
  </si>
  <si>
    <t xml:space="preserve">
- +1 de Mana para cada 1 Hex de raio de alcance adicional.
- +5 de Mana para cada Turno de duração adicional.
- +2 de Mana para cada +1 de aumento no efeito do feitiço.</t>
  </si>
  <si>
    <t xml:space="preserve">
- Aumenta os Testes de Visão de todos os personagens na área em 1.</t>
  </si>
  <si>
    <t xml:space="preserve">
- +1 de Mana para cada 1 Hex de raio de alcançe adicional.
- +4 de Mana para cada Turno de duração adicional.
- +2 de Mana para cada +1 de aumento no efeito do feitiço.</t>
  </si>
  <si>
    <t xml:space="preserve">
- Aumenta os Testes de Visão de todos os personagens na área em 2.</t>
  </si>
  <si>
    <t xml:space="preserve">
- +1 de Mana para cada 2 Hex de raio de alcançe adicionais.
- +3 de Mana para cada Turno de duração adicional.
- +2 de Mana para cada +1 de aumento no efeito do feitiço.</t>
  </si>
  <si>
    <t xml:space="preserve">
- Aumenta os Testes de Visão de todos os personagens na área em 3.</t>
  </si>
  <si>
    <t xml:space="preserve">
- +1 de Mana para cada 2 Hex de raio de alcançe adicionais.
- +2 de Mana para cada Turno de duração adicional.
- +2 de Mana para cada +1 de aumento no efeito do feitiço.
</t>
  </si>
  <si>
    <t xml:space="preserve">
- Aumenta os Testes de Visão de todos os personagens na área em 4.</t>
  </si>
  <si>
    <t xml:space="preserve">
- +1 de Mana para cada 3 Hex de raio de alcançe adicionais.
- +1 de Mana para cada Turno de duração adicional.
- +2 de Mana para cada +1 de aumento no efeito do feitiço.</t>
  </si>
  <si>
    <t xml:space="preserve">
- Aumenta os Testes de Visão de todos os personagens na área em 5.</t>
  </si>
  <si>
    <t>Olhos Desatentos</t>
  </si>
  <si>
    <t xml:space="preserve">
- +1 de Mana para cada 1 Hex de raio de alcance adicional.
- +5 de Mana para cada Turno de duração adicional.
- +2 de Mana para cada +1 de redução no efeito do feitiço.</t>
  </si>
  <si>
    <t xml:space="preserve">
- Diminuí os Testes de Visão de todos os personagens na área em 1.</t>
  </si>
  <si>
    <t xml:space="preserve">
- +1 de Mana para cada 1 Hex de raio de alcançe adicional.
- +4 de Mana para cada Turno de duração adicional.
- +2 de Mana para cada +1 de redução no efeito do feitiço.</t>
  </si>
  <si>
    <t xml:space="preserve">
- Diminuí os Testes de Visão de todos os personagens na área em 2.</t>
  </si>
  <si>
    <t xml:space="preserve">
- +1 de Mana para cada 2 Hex de raio de alcançe adicionais.
- +3 de Mana para cada Turno de duração adicional.
- +2 de Mana para cada +1 de redução no efeito do feitiço.</t>
  </si>
  <si>
    <t xml:space="preserve">
- Diminuí os Testes de Visão de todos os personagens na área em 3.</t>
  </si>
  <si>
    <t xml:space="preserve">
- +1 de Mana para cada 2 Hex de raio de alcançe adicionais.
- +2 de Mana para cada Turno de duração adicional.
- +2 de Mana para cada +1 de redução no efeito do feitiço.</t>
  </si>
  <si>
    <t xml:space="preserve">
- Diminuí os Testes de Visão de todos os personagens na área em 4.</t>
  </si>
  <si>
    <t xml:space="preserve">
- +1 de Mana para cada 3 Hex de raio de alcançe adicionais.
- +1 de Mana para cada Turno de duração adicional.
- +2 de Mana para cada +1 de redução no efeito do feitiço.</t>
  </si>
  <si>
    <t xml:space="preserve">
- Diminuí os Testes de Visão de todos os personagens na área em 5.</t>
  </si>
  <si>
    <t>Ouvidos Atentos</t>
  </si>
  <si>
    <t xml:space="preserve">
- Aumenta os Testes de Audição de todos os personagens na área em 1.</t>
  </si>
  <si>
    <t xml:space="preserve">
- Aumenta os Testes de Audição de todos os personagens na área em 2.</t>
  </si>
  <si>
    <t xml:space="preserve">
- Aumenta os Testes de Audição de todos os personagens na área em 3.</t>
  </si>
  <si>
    <t xml:space="preserve">
- Aumenta os Testes de Audição de todos os personagens na área em 4.</t>
  </si>
  <si>
    <t xml:space="preserve">
- Aumenta os Testes de Audição de todos os personagens na área em 5.</t>
  </si>
  <si>
    <t>Ouvidos Desatentos</t>
  </si>
  <si>
    <t xml:space="preserve">
- Diminuí os Testes de Audição de todos os personagens na área em 1.</t>
  </si>
  <si>
    <t xml:space="preserve">
- Diminuí os Testes de Audição de todos os personagens na área em 2.</t>
  </si>
  <si>
    <t xml:space="preserve">
- Diminuí os Testes de Audição de todos os personagens na área em 3.</t>
  </si>
  <si>
    <t xml:space="preserve">
- Diminuí os Testes de Audição de todos os personagens na área em 4.</t>
  </si>
  <si>
    <t xml:space="preserve">
- Diminuí os Testes de Audição de todos os personagens na área em 5.</t>
  </si>
  <si>
    <t>Nariz Atento</t>
  </si>
  <si>
    <t xml:space="preserve">
- Aumenta os Testes de Olfato de todos os personagens na área em 1.</t>
  </si>
  <si>
    <t xml:space="preserve">
- Aumenta os Testes de Olfato de todos os personagens na área em 2.</t>
  </si>
  <si>
    <t xml:space="preserve">
- Aumenta os Testes de Olfato de todos os personagens na área em 3.</t>
  </si>
  <si>
    <t xml:space="preserve">
- Aumenta os Testes de Olfato de todos os personagens na área em 4.</t>
  </si>
  <si>
    <t xml:space="preserve">
- Aumenta os Testes de Olfato de todos os personagens na área em 5.</t>
  </si>
  <si>
    <t>Nariz Desatento</t>
  </si>
  <si>
    <t xml:space="preserve">
- Diminuí os Testes de Olfato de todos os personagens na área em 1.</t>
  </si>
  <si>
    <t xml:space="preserve">
- Diminuí os Testes de Olfato de todos os personagens na área em 2.</t>
  </si>
  <si>
    <t xml:space="preserve">
- Diminuí os Testes de Olfato de todos os personagens na área em 3.</t>
  </si>
  <si>
    <t xml:space="preserve">
- Diminuí os Testes de Olfato de todos os personagens na área em 4.</t>
  </si>
  <si>
    <t xml:space="preserve">
- Diminuí os Testes de Olfato de todos os personagens na área em 5.</t>
  </si>
  <si>
    <t>Projétil Amaldiçoado</t>
  </si>
  <si>
    <t xml:space="preserve">
- Esta feitiço permite ao mago pegar uma magia de Somatomancia do tipo Debilitação e lançá-la como um projétil.
- São necessários três testes para que a magia funcione: um na magia Projétil Amaldiçoado para lançá-la, um em Arremesar Feitiço e por último (na magia subjacente) quando o alvo tentar resistir.
- Esta magia aparece como um globo de luz esverdeada, se formando nas mãos do conjurador.</t>
  </si>
  <si>
    <t xml:space="preserve">
- Um mago que vê um Projétil Amaldiçoado pode prever o que ele fará através de um teste de Moldar Mana bem sucedido.
- Os feitiços Paralizia Parcial e Paralizia Total não podem ser lançados através deste feitiço.</t>
  </si>
  <si>
    <t>Paralizia Parcial</t>
  </si>
  <si>
    <t xml:space="preserve">
- O conjurador deve tocar o alvo em um membro (usando os modificadores de DX apropriados para esse ataque direcionado).
- Esse membro fica paralisado; ele é considerado aleijado pela duração do feitiço.
</t>
  </si>
  <si>
    <t xml:space="preserve">
- Na maioria das situações de combate, o membro pode simplesmente ser tratado como aleijado até o fim da batalha. Não afeta a cabeça.</t>
  </si>
  <si>
    <t>Paralizia Total</t>
  </si>
  <si>
    <t xml:space="preserve">
- O conjurador deve tocar a cabeça do alvo (-5 na jogada de ataque do conjurador).
- O alvo fica totalmente paralisado e não pode se mover pela duração do feitiço (ou, em uma partida normal, até o fim da batalha).</t>
  </si>
  <si>
    <t>Resistir Dor</t>
  </si>
  <si>
    <t xml:space="preserve">
- O alvo torna-se temporariamente insensível à dor.
- Ele pode ignorar Espasmo e outras magias que causam dor.
- Ele não pode ser atordoado em combate e não perde DX quando ferido, nem fica mais lento quando sua Vida é reduzida a 3.
- No entanto, ele não ganha nenhuma resistência real a ferimentos — apenas à dor que eles causam.</t>
  </si>
  <si>
    <t>Encolher</t>
  </si>
  <si>
    <t xml:space="preserve">
- O tamanho do conjurador diminui, reduzindo proporcionalmente sua Força, pontos de vida, Movimento, Alcance, PD e RD.
- As roupas do conjurador encolherão com ele, se assim desejar, mas joias, armaduras, armas, itens carregados e outros volumes substanciais de substâncias mais rígidas permanecem em seu tamanho original (podem ser reduzidos separadamente com Encolher Objeto).
- IQ, DX, HT, Mana, Toxicidade, Velocidade e Esquiva não mudam com o tamanho.
- Assim, um conjurador com Força 10 encolhido à metade do tamanho teria uma Força de 5 para uso de armas, levantamento de peso, etc., mas manteria sua Força original de 10 para demais fins (conjuração de magias, por exemplo).
- O peso diminui drasticamente; a massa de um conjurador com metade do tamanho é dividida por 8, a massa de um conjurador com um quarto do tamanho é dividida por 64 e assim por diante.
- O conjurador é muito mais difícil de acertar com armas (use os ajustes de tamanho na pág. B201) e pode se esconder e se esgueirar com eficiência (os mesmos modificadores se aplicam aos testes de Visão).
- As necessidades de comida a longo prazo também diminuem em proporção direta.</t>
  </si>
  <si>
    <t xml:space="preserve">
- O Mestre pode optar por tratar pontos de vida menores que 1 como 1 e pode permitir um Movimento mínimo de 1 também, para permitir que magos encolhidos conquistem algo a pé.
- Nenhuma dessas opções é estritamente realista, mas ambas estão de acordo com as tradições da ficção heroica.</t>
  </si>
  <si>
    <t>Encolher Outro</t>
  </si>
  <si>
    <t xml:space="preserve">
- Moldar Mana
- Encolher</t>
  </si>
  <si>
    <t xml:space="preserve">
- Semelhante a Encolher, mas utilizável em outros seres.
-A magia só pode ser anulada pelo conjurador original ou por Remover Maldição.</t>
  </si>
  <si>
    <t>- O Mestre deve levar em consideração os potenciais efeitos psicológicos desta magia em sujeitos inconscientes/relutantes...</t>
  </si>
  <si>
    <t>Ampliar</t>
  </si>
  <si>
    <t xml:space="preserve">
- O tamanho do conjurador aumenta, aumentando proporcionalmente sua Força, pontos de vida, Movimento, Alcance, PD e RD (RD 0 deve ser tratado como RD 1, Ampliado, então reduzido à metade, arredondando para baixo. Isso significa que dobrar ou triplicar resulta em RD 1, quadruplicar e quintuplicar resulta em RD 2, etc.).
- As roupas do conjurador crescerão com ele, se assim desejar, mas joias, armaduras, armas, itens carregados e outros volumes substanciais de substâncias mais duras permanecem em seu tamanho original (eles podem ser ampliados separadamente com Ampliar Objeto).
- Veja o feitiço Corpulência, para os efeitos de "estourar" da armadura.
- IQ, DX, HT, Mana, Velocidade e Esquiva não mudam com o tamanho.
- Assim, um conjurador com Força 10, ampliado para o dobro do tamanho, teria Força 20 para uso de armas, levantamento de peso, etc., mas manteria sua Força original de 10 para demais fins (lançamento de magias, por exemplo).
- O peso aumenta drasticamente; cada vez que a altura dobra multiplica a massa do conjurador por um fator de 8.
- Massa corporal extra não conta como sobrecarga, a menos que o conjurador já fosse acima do peso ou gordo.
- Ele causa dano de pisoteio de acordo com as regras da pág. B142.
- O conjurador é muito mais fácil de atingir com armas (use os ajustes da pág. B201) e é muito fácil de detectar (os mesmos modificadores se aplicam aos testes de Visão).
- As necessidades de alimentação a longo prazo também aumentam em proporção direta.
</t>
  </si>
  <si>
    <t xml:space="preserve">
- Se o conjurador estiver confinado em um cômodo (ou veículo ou contêiner, etc.) que seja pequeno demais para acomodar seu tamanho maior, seu crescimento para.
- No entanto, se o dano máximo de sua estocada for suficiente para penetrar a RD do recinto, ele o atravessa em um segundo por ponto de RD que ele possuir.</t>
  </si>
  <si>
    <t>Ampliar Outro</t>
  </si>
  <si>
    <t xml:space="preserve">
- Semelhante a Ampliar, mas utilizável em outros seres.
- O feitiço só pode ser anulado pelo conjurador original ou por Remover Maldição.
- Conjurado em um soldado voluntário, isso o transforma instantaneamente em uma máquina de cerco... mas também o torna um alvo prioritário para a artilharia e magia inimigas.</t>
  </si>
  <si>
    <t>Corpulência</t>
  </si>
  <si>
    <t xml:space="preserve">
- A circunferência do alvo aumenta temporariamente em um nível, passando de Magro para Normal, de Normal para Acima do Peso, de Acima do Peso para Gordo ou de Gordo para Extremamente Gordo, conforme o caso.
- Consulte as descrições de desvantagens apropriadas para os efeitos precisos (págs. B28-29).
- Além de Extremamente Gordo, o peso do alvo aumenta em 100% do seu peso base (sem contar os modificadores de Gordo ou Magro desta magia ou de qualquer outra) por conjuração.</t>
  </si>
  <si>
    <t>- Alvos já afetados resistem a conjurações repetidas com um bônus cumulativo de +5 por conjuração.
-Além dos efeitos normais do aumento de peso, roupas comuns rasgarão; cada peça de armadura rígida se contrairá, infligindo RD/3 em dano de esmagamento (arredondado para baixo) e então sufocará (veja pág. B122).
- Uma vez que o alvo fique incapacitado de se mover, ele poderá ser sufocado pelo próprio peso.</t>
  </si>
  <si>
    <t>Magreza Extrema</t>
  </si>
  <si>
    <t xml:space="preserve">
- O alvo fica temporariamente emaciado, perdendo um nível de peso (o oposto da magia Corpulência).
- Armaduras e roupas ficarão penduradas no alvo, atrapalhando-o (-2 DX).
- Além de Magro, o alvo perde 20% do seu peso atual e sofre 1de de fadiga (gasto de Mana) por conjuração.
- Alvos já afetados resistem a conjurações repetidas com um bônus cumulativo de +5 por conjuração.</t>
  </si>
  <si>
    <t>Esticar Membro</t>
  </si>
  <si>
    <t xml:space="preserve">
- O braço do conjurador (geralmente - mas pernas, pseudópodes e assim por diante também são permitidos) se alonga, tornando-se como uma cobra muito longa.
- O membro se alonga a uma taxa de 1 hex por segundo, sem limite superior.
- O conjurador mantém seu tato completo e deve tatear para frente assim que a ponta do membro sair de sua linha de visão, ou usar Olho de Mago ou algum feitiço similar para guiá-lo.
- Ele deve permanecer imóvel; o alongamento em si requer concentração, mas o conjurador pode relaxar assim que atingir o comprimento desejado.</t>
  </si>
  <si>
    <t xml:space="preserve">
- O membro estendido pode ser um alvo tentador para quem o encontrar!
- Quando o feitiço termina, ou em uma emergência, o membro é recolhido à velocidade máxima do conjurador.
- Útil para alcançar as chaves do lado de fora da cela ou roubar a joia mais valiosa do califa enquanto ele dorme...</t>
  </si>
  <si>
    <t xml:space="preserve">
- +3 de Mana para cada Turno de duração adicional.</t>
  </si>
  <si>
    <t>10 Turnos</t>
  </si>
  <si>
    <t>UMB-0000</t>
  </si>
  <si>
    <t>Umbromancia</t>
  </si>
  <si>
    <t>Magelock</t>
  </si>
  <si>
    <t>Utilidade</t>
  </si>
  <si>
    <t>Área ocupada pela porta</t>
  </si>
  <si>
    <t xml:space="preserve">
- Tranca uma porta magicamente. </t>
  </si>
  <si>
    <t xml:space="preserve">
- A porta não se abrirá a menos que o feitiço seja removido (Suspender Feitiço e Lockmaster o neutralizarão) ou a própria porta seja destruída.</t>
  </si>
  <si>
    <t>Locksmith</t>
  </si>
  <si>
    <t xml:space="preserve">
- Permite a manipulação precisa de peças pequenas, por exemplo, o interior de uma fechadura.</t>
  </si>
  <si>
    <t xml:space="preserve">
- Adiciona 5 à habilidade de Arrombamento do alvo, permitindo que ele mova os pinos, etc., sem tocá-los, caso possua ferramentas normais disponíveis.
- Ou, permite que um mago sem nenhuma ferramenta tente abrir uma fechadura com sua habilidade normal de Arrombamento.
- Concede um bônus similar para Mecânica e outras habilidades onde uma "terceira mão" seja útil.</t>
  </si>
  <si>
    <t>Lockmaster</t>
  </si>
  <si>
    <t xml:space="preserve">
- Moldar Mana
- Magelock</t>
  </si>
  <si>
    <t>Área ocupada pela fechadura</t>
  </si>
  <si>
    <t xml:space="preserve">
- Abre fechaduras magicamente.
</t>
  </si>
  <si>
    <t xml:space="preserve">
- Um feitiço de Magelock fará um teste de resistência contra Lockmaster.</t>
  </si>
  <si>
    <t>Manipular</t>
  </si>
  <si>
    <t xml:space="preserve">
- Permite a manipulação de objetos maiores do que os permitidos pela magia Locksmith.
- Cordas podem ser desatadas, maçanetas giradas, facas afiadas, manivelas de moinho giradas, etc.</t>
  </si>
  <si>
    <t xml:space="preserve">
- O conjurador não precisa tocar no objeto.
- Qualquer atividade complexa o suficiente para exigir um teste de DX com penalidade para ser realizada, exige a mesma penalidade para esta magia.</t>
  </si>
  <si>
    <t>Undo</t>
  </si>
  <si>
    <t xml:space="preserve">
- Desata nós e fechos de qualquer tipo que normalmente poderiam ser desfeitos à mão (exceto cadeados).
- Um sucesso crítico seria capaz até mesmo de desfazer cotas de malha em seus elos componentes!
- Útil para roubar furtivamente brincos, colares, etc. 
- Desamarra laços, desabotoa camisas, desfaz espartilhos, desabotoa cintos...</t>
  </si>
  <si>
    <t>Faca Alada</t>
  </si>
  <si>
    <t>- Permite ao conjurador arremessar magicamente qualquer arma de perfuração, apontando para frente.
- A arma é o "alvo" para fins de distância, ao determinar se a magia é bem-sucedida.
- Para fins técnicos: 
    - RT 13 
    - Prec: 1 
    - 1/2D: 20
    - Máx. 40</t>
  </si>
  <si>
    <t xml:space="preserve">
- Se acertar, causa o dano que causaria se arremessada por um homem com ST 15.
- O dano básico de perfuração para essa ST é 1d6+1 (somado ao bônus de GDP da arma)
- Uma flecha ou virote arremessado por esta magia causará 2d6+1 de dano de perfuração.</t>
  </si>
  <si>
    <t>Liberdade</t>
  </si>
  <si>
    <t xml:space="preserve">
- A magia concede um bônus no uso de habilidades ou atributos do alvo para manter ou recuperar sua liberdade de movimento.
- Casos típicos incluem:
    - Testes de DX ou ST para evitar ser agarrado, para se libertar ou para evadir;
    - Usar as habilidades de Fuga ou Arrombamento;
    - Pular ou escalar paredes de contenção;
    - Entortar barras ou forçar portas;
     - Resistir a magias de Cola, Levitação ou Paralisia e assim por diante.</t>
  </si>
  <si>
    <t xml:space="preserve">
- Casos em que a magia não ajuda:
    - Uso das perícias Camuflagem, Disfarce ou Furtividade;
    - Magias do arquétipo Psiquemancia; 
    - Desviar de mísseis;
    - Usar Arrombamento, Escalada ou Salto para entrar em algum lugar e assim por diante.
- A decisão do GM é final.</t>
  </si>
  <si>
    <t>Moldar Sombras</t>
  </si>
  <si>
    <t>Área ocupada pela sombra</t>
  </si>
  <si>
    <t xml:space="preserve">
- Esta magia permite ao conjurador moldar e mover escuridão tridimensional criada com a magia Criar Sombras.
- Ela também permite ao conjurador moldar sombras bidimensionais existentes em outras formas sombrias, mas ainda bidimensionais.
- O tamanho das sombras pode ser reduzido facilmente, mas aumentá-las as torna ligeiramente transparentes.
</t>
  </si>
  <si>
    <t xml:space="preserve">
- O observador casual médio não notará, mas qualquer um que olhar atentamente para a sombra terá direito a um teste de IQ para perceber que ela não tem a "substância" que deveria.
- As sombras não precisam permanecer ligadas aos objetos que as projetam.</t>
  </si>
  <si>
    <t>Criar Sombras</t>
  </si>
  <si>
    <t xml:space="preserve">
- Moldar Mana
- Moldar Sombras</t>
  </si>
  <si>
    <t xml:space="preserve">
- Cobre um ou mais hexágonos em escuridão total.
- Uma pessoa em um hexágono escuro pode ver normalmente para fora do hexágono, mas não pode ver nada mais em seu próprio hexágono ou em outros hexágonos escuros.
- Aqueles fora de um hexágono escuro não podem ver nada dentro dele além da escuridão.
- Assim, ataques vindos da escuridão não sofrem penalidade, mas ataques para dentro da escuridão sofrem penalidade. 
- A magia Visão no Escuro permite ver através de hexágonos escuros, já Infravisão não permite.</t>
  </si>
  <si>
    <t>Saltar pelas Sombras</t>
  </si>
  <si>
    <t xml:space="preserve">
- O conjurador utiliza as sombras ao seu redor como “portais naturais”, desaparecendo dentro de uma e surgindo de outra à vista.
- O feitiço só funciona entre duas áreas escuras ou sombreadas, ambas grandes o bastante para cobrir pelo menos metade do corpo do conjurador.</t>
  </si>
  <si>
    <t xml:space="preserve">
- O movimento é instantâneo: o conjurador some na sombra inicial e surge imediatamente na sombra-alvo. Conta como teleporte limitado, portanto:
    - Não permite atravessar barreiras totalmente iluminadas.
    - O conjurador deve claramente enxergar (ou conhecer) o ponto final.
    - Não atravessa superfícies herméticas sem uma sombra conectada ao outro lado.
    - Equipamentos carregados teletransporta normalmente.
    - Não funciona sob luz solar direta e intensa.</t>
  </si>
  <si>
    <t>Blur</t>
  </si>
  <si>
    <t>Área ocupado pelo alvo</t>
  </si>
  <si>
    <t xml:space="preserve">
- +1 de Mana para cada 1 Hex de alcance adicionais.
- +8 de Mana para -1 de habilidade efetiva de qualquer ataque contra o alvo.</t>
  </si>
  <si>
    <t xml:space="preserve">
- Torna o alvo mais difícil de ver e, portanto, mais difícil de atingir com qualquer ataque físico ou magia à distância.</t>
  </si>
  <si>
    <t>-  -1 da habilidade efetiva de qualquer ataque contra o alvo.</t>
  </si>
  <si>
    <t xml:space="preserve">
- +1 de Mana para cada 1 Hex de alcance adicionais.
- +7 de Mana para -1 de habilidade efetiva de qualquer ataque contra o alvo.</t>
  </si>
  <si>
    <t>-  -2 da habilidade efetiva de qualquer ataque contra o alvo.</t>
  </si>
  <si>
    <t xml:space="preserve">
- +1 de Mana para cada 2 Hex de alcance adicionais.
- +6 de Mana para -1 de habilidade efetiva de qualquer ataque contra o alvo.</t>
  </si>
  <si>
    <t>-  -3 da habilidade efetiva de qualquer ataque contra o alvo.</t>
  </si>
  <si>
    <t xml:space="preserve">
- +1 de Mana para cada 2 Hex de alcance adicionais.
- +5 de Mana para -1 de habilidade efetiva de qualquer ataque contra o alvo.</t>
  </si>
  <si>
    <t>-  -4 da habilidade efetiva de qualquer ataque contra o alvo.</t>
  </si>
  <si>
    <t xml:space="preserve">
- +1 de Mana para cada 3 Hex de alcance adicionais.
- +4 de Mana para -1 de habilidade efetiva de qualquer ataque contra o alvo.</t>
  </si>
  <si>
    <t>-  -5 da habilidade efetiva de qualquer ataque contra o alvo.</t>
  </si>
  <si>
    <t>Esconder</t>
  </si>
  <si>
    <t xml:space="preserve">
- +1 de Mana para cada 1 Hex de alcance adicionais.
- +8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</si>
  <si>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1 nos testes de Percepção de qualquer buscador que tente ver, ouvir ou cheirar o alvo. </t>
  </si>
  <si>
    <t xml:space="preserve">
- Um alvo vivo deve permanecer perfeitamente imóvel; a magia não o protege enquanto ele estiver se movendo (embora volte a fazer efeito quando ele ficar parado).</t>
  </si>
  <si>
    <t xml:space="preserve">
- +1 de Mana para cada 1 Hex de alcance adicionais.
- +7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</si>
  <si>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2 nos testes de Percepção de qualquer buscador que tente ver, ouvir ou cheirar o alvo. </t>
  </si>
  <si>
    <t xml:space="preserve">
- +1 de Mana para cada 2 Hex de alcance adicionais.
- +6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</si>
  <si>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3 nos testes de Percepção de qualquer buscador que tente ver, ouvir ou cheirar o alvo. </t>
  </si>
  <si>
    <t xml:space="preserve">
- +1 de Mana para cada 2 Hex de alcance adicionais.
- +5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</si>
  <si>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4 nos testes de Percepção de qualquer buscador que tente ver, ouvir ou cheirar o alvo. </t>
  </si>
  <si>
    <t xml:space="preserve">
- +1 de Mana para cada 3 Hex de alcance adicionais.
- +4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</si>
  <si>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5 nos testes de Percepção de qualquer buscador que tente ver, ouvir ou cheirar o alvo. </t>
  </si>
  <si>
    <t>Invisibilidade</t>
  </si>
  <si>
    <t xml:space="preserve">
- O sujeito não pode ser visto, não aparecerá em fotos ou espelhos, etc.
- Ele ainda emite sons, deixa pegadas e coisas do tipo.
- Qualquer coisa que ele pegue também se torna invisível enquanto ele a carrega, a menos que ele queira que permaneça visível.
- A Visão Térmica não o detectará, mas Ver Invisível o detectará.
- Personagens invisíveis têm uma grande vantagem em combate.</t>
  </si>
  <si>
    <t xml:space="preserve">
- O feitiço é encerrado caso o alvo ataque ou conjure um feitiço.
- Os feitiços da escola de Umbromancia não se aplicam a regra acima.</t>
  </si>
  <si>
    <t>Visão Noturna</t>
  </si>
  <si>
    <t>Visão</t>
  </si>
  <si>
    <t xml:space="preserve">
- Permite que o alvo veja claramente enquanto houver qualquer vestígio de luz (este feitiço é o equivalente mágico da vantagem "Visão Noturna").</t>
  </si>
  <si>
    <t>- Na escuridão total, o alvo permanece cego.</t>
  </si>
  <si>
    <t>Visão das Sombras</t>
  </si>
  <si>
    <t xml:space="preserve">
- O sujeito consegue enxergar mesmo na escuridão total!</t>
  </si>
  <si>
    <t>- O alvo ignora os efeitos da magia Criar Sombras.</t>
  </si>
  <si>
    <t>Visão de Águia</t>
  </si>
  <si>
    <t xml:space="preserve">
- Permite ao alvo ver objetos distantes como se estivessem muito mais próximos.
- Enquanto a magia estiver ativa, o alvo terá visão de longo alcance.</t>
  </si>
  <si>
    <t xml:space="preserve">
- Objetos a menos de 10 metros não parecem mais próximos; eles ficam desfocados e são atacados com uma penalidade de -2 na habilidade. 
- Objetos a uma distância maior são vistos, e podem ser alvejados, como se estivessem 20 vezes mais próximos (mínimo de 10 metros), embora os alcances de ½  e Máximo permaneçam inalterados.</t>
  </si>
  <si>
    <t xml:space="preserve">
- Objetos a menos de 10 metros não parecem mais próximos; eles ficam desfocados e são atacados com uma penalidade de -2 na habilidade. 
- Objetos a uma distância maior são vistos, e podem ser alvejados, como se estivessem 40 vezes mais próximos (mínimo de 10 metros), embora os alcances de ½  e Máximo permaneçam inalterados.</t>
  </si>
  <si>
    <t xml:space="preserve">
- Objetos a menos de 10 metros não parecem mais próximos; eles ficam desfocados e são atacados com uma penalidade de -2 na habilidade. 
- Objetos a uma distância maior são vistos, e podem ser alvejados, como se estivessem 60 vezes mais próximos (mínimo de 10 metros), embora os alcances de ½  e Máximo permaneçam inalterados.</t>
  </si>
  <si>
    <t xml:space="preserve">
- Objetos a menos de 10 metros não parecem mais próximos; eles ficam desfocados e são atacados com uma penalidade de -2 na habilidade. 
- Objetos a uma distância maior são vistos, e podem ser alvejados, como se estivessem 80 vezes mais próximos (mínimo de 10 metros), embora os alcances de ½  e Máximo permaneçam inalterados.</t>
  </si>
  <si>
    <t xml:space="preserve">
- Objetos a menos de 10 metros não parecem mais próximos; eles ficam desfocados e são atacados com uma penalidade de -2 na habilidade. 
- Objetos a uma distância maior são vistos, e podem ser alvejados, como se estivessem 100 vezes mais próximos (mínimo de 10 metros), embora os alcances de ½  e Máximo permaneçam inalterados.</t>
  </si>
  <si>
    <t>Ver Invisível</t>
  </si>
  <si>
    <t xml:space="preserve">
- O alvo pode ver qualquer coisa oculta pelo feitiço de Invisibilidade ou por invisibilidade "natural".</t>
  </si>
  <si>
    <t>- Seres ou objetos invisíveis serão ligeiramente translúcidas; portanto, o alvo pode ver através delas e perceber que elas parecem invisíveis para os outros.</t>
  </si>
  <si>
    <t>Atrair</t>
  </si>
  <si>
    <t xml:space="preserve">
- Cada ser que entrar na área de efeito desta magia sente-se compelido a aproximar-se do hexágono central da magia.
- O Mestre deve rolar a resistência da criatura em segredo e então dizer à infeliz vítima que ele "está curioso sobre o baú" ou alguma outra dica sutil.
- Assim que a vítima alcançar o hexágono central, ela fica imune à magia até sair da área afetada (se ela retornar, será "atacada" pela magia novamente).</t>
  </si>
  <si>
    <t xml:space="preserve">
- Atrair e Evitar são feitiços antagônicos e, portanto, resistem um ao outro.</t>
  </si>
  <si>
    <t>Evitar</t>
  </si>
  <si>
    <t xml:space="preserve">
- Torna a área afetada pouco atraente para todas as criaturas, exceto o conjurador.
- Os olhares serão desviados e os personagens que se aproximarem sentirão um intenso desconforto, uma vontade de estar em outro lugar.
- A magia resiste às tentativas de olhar para ela ou de se aproximar (role a habilidade do conjurador contra a Vontade de quem a procura).
- As vítimas não perceberão a repulsa se ela agir de forma sutil (por exemplo, você simplesmente sentiu vontade de sentar na frente em vez de no meio...).
- Esta é uma magia sutil, e o Mestre devem rolar em segredo para ver se ela funciona.
- Se funcionar, as vítimas não devem ser informadas "Você não pode olhar naquele armário", mas apenas "você não vê nada".
- A magia fez com que elas pensassem que haviam verificado o armário, ou fez com que cada pessoa que procurasse pensasse que outra pessoa o havia verificado... e assim por diante.</t>
  </si>
  <si>
    <t xml:space="preserve">
- Se um único conjurador usar simultaneamente as magias Esconder e Evitar, o Mestre não deve verificar os resultados da magia Esconder, a menos que um buscador penetre a magia Evitar e olhe na direção do conjurador.</t>
  </si>
  <si>
    <t>Olhos na Nuca</t>
  </si>
  <si>
    <t xml:space="preserve">
- O alvo consegue ver tudo ao seu redor.
- Em combate, todos os seus hexágonos adjacentes são tratados como hexágonos frontais.</t>
  </si>
  <si>
    <t>ZOO-0000</t>
  </si>
  <si>
    <t>Zoomancia</t>
  </si>
  <si>
    <t>Acalmar Fera</t>
  </si>
  <si>
    <t xml:space="preserve">
- +1 de Mana para cada 1 Hex de raio de alcançe adicional.
- $+2^{(n-1)}$ de Mana conforme o nível da Fera, que pode variar de 1 a 5.</t>
  </si>
  <si>
    <t>Permanente, até que algo pertube a fera</t>
  </si>
  <si>
    <t xml:space="preserve">
- Permite ao conjurador acalmar um único animal.</t>
  </si>
  <si>
    <t>- A reação da fera ao conjurador é melhorada em duas vezes a energia investida na magia.</t>
  </si>
  <si>
    <t>Mestrar Fera</t>
  </si>
  <si>
    <t xml:space="preserve">
- O conjurador deve estabelecer contato visual com a Fera, enquanto o contato for mantido a Fera irá se manter  imóvel.</t>
  </si>
  <si>
    <t xml:space="preserve">
- Note que a escuridão quebra o contato visual. 
-Pode ser conjurada como uma magia de Bloqueio se o fera estiver entrando no hexágono do conjurador - por exemplo, para atacar.</t>
  </si>
  <si>
    <t>Linkar com Fera</t>
  </si>
  <si>
    <t xml:space="preserve">
- Moldar Mana
- Mestrar Fera</t>
  </si>
  <si>
    <t xml:space="preserve">
- +1 de Mana para cada 1 Hex de raio de alcançe adicional.
- +5 de Mana para cada 1 hora adicional de duração.
- $+2^{(n-1)}$ de Mana conforme o nível da Fera, que pode variar de 1 a 5.</t>
  </si>
  <si>
    <t xml:space="preserve">
-Estabelece uma ligação mental com um animal.
- O animal não se afastará muito do conjurador depois disso (geralmente não mais do que meia hora de viagem).
- Ele virá então, uma vez, sempre que o conjurador desejar, em um ritmo rápido mas não mortal.
- Se for uma fera selvagem, quaisquer reações devem ser re-determinadas quando a criatura chegar; reações boas anteriores de Acalmar Feras, por exemplo, não se aplicam mais!
</t>
  </si>
  <si>
    <t>- Esta magia é semelhante a Invocar Feras, mas é conjurada com antecedência e em uma criatura específica.</t>
  </si>
  <si>
    <t xml:space="preserve">
- +1 de Mana para cada 1 Hex de raio de alcançe adicional.
- +4 de Mana para cada 1 hora adicional de duração.
- $+2^{(n-1)}$ de Mana conforme o nível da Fera, que pode variar de 1 a 5.</t>
  </si>
  <si>
    <t xml:space="preserve">
- +1 de Mana para cada 1 Hex de raio de alcançe adicional.
- +3 de Mana para cada 1 hora adicional de duração.
- $+2^{(n-1)}$ de Mana conforme o nível da Fera, que pode variar de 1 a 5.</t>
  </si>
  <si>
    <t xml:space="preserve">
- +1 de Mana para cada 1 Hex de raio de alcançe adicional.
- +2 de Mana para cada 1 hora adicional de duração.
- $+2^{(n-1)}$ de Mana conforme o nível da Fera, que pode variar de 1 a 5.</t>
  </si>
  <si>
    <t xml:space="preserve">
- +1 de Mana para cada 1 Hex de raio de alcançe adicional.
- +1 de Mana para cada 1 hora adicional de duração.
- $+2^{(n-1)}$ de Mana conforme o nível da Fera, que pode variar de 1 a 5.</t>
  </si>
  <si>
    <t>Invocar Fera</t>
  </si>
  <si>
    <t xml:space="preserve">
- Moldar Mana
- Mestrar Fera
- Linkar com Fera</t>
  </si>
  <si>
    <t>Irrelevante</t>
  </si>
  <si>
    <t xml:space="preserve">
- $+2^{(n-1)}$ de Mana conforme o nível da Fera, que pode variar de 1 a 5.</t>
  </si>
  <si>
    <t>Permanente, até que algo pertube a fera ou o conjurador encerre o feitiço.</t>
  </si>
  <si>
    <t xml:space="preserve">
- Permite ao conjurador invocar uma fera.</t>
  </si>
  <si>
    <t xml:space="preserve">
- O alcance não importa para esta magia.
-Se a magia for conjurada com sucesso, o conjurador saberá a localização da criatura mais próxima daquele tipo e quanto tempo levará para que ela chegue até ele.
- Ela se moverá em direção ao conjurador o mais rápido possível, até que a magia termine ou o animal possa ver o conjurador.
- Ela permanecerá por perto, sem atacar, até que a magia termine.
- O animal invocado terá então um bônus de +1 em sua reação contra o conjurador (apenas).
- Observe que, se a criatura for atacada pelo conjurador ou por alguém próximo ao conjurador, a magia será quebrada.</t>
  </si>
  <si>
    <t>Controlar Fera</t>
  </si>
  <si>
    <t xml:space="preserve">
- +1 de Mana para cada 1 Hex de raio de alcançe adicional.
- +5 de Mana para cada Turno de duração adicional.
- $+2^{(n-1)}$ de Mana conforme o nível da Fera, que pode variar de 1 a 5.</t>
  </si>
  <si>
    <t xml:space="preserve">
- O conjurador controla uma Fera.</t>
  </si>
  <si>
    <t xml:space="preserve">
- A Fera seguirá qualquer ordem direta que o conjurador der; na ausência de ordens diretas, ele agirá no melhor interesse do conjurador, conforme o seu entendimento.
- O feitiço é imediatamente quebrado se o conjurador atacar a Fera.
- Se a Fera for instruído a fazer algo muito perigoso, ela faz um teste de IQ para quebrar o feitiço.</t>
  </si>
  <si>
    <t xml:space="preserve">
- +1 de Mana para cada 1 Hex de raio de alcançe adicional.
- +4 de Mana para cada Turno de duração adicional.
- $+2^{(n-1)}$ de Mana conforme o nível da Fera, que pode variar de 1 a 5.</t>
  </si>
  <si>
    <t xml:space="preserve">
- +1 de Mana para cada 1 Hex de raio de alcançe adicional.
- +3 de Mana para cada Turno de duração adicional.
- $+2^{(n-1)}$ de Mana conforme o nível da Fera, que pode variar de 1 a 5.</t>
  </si>
  <si>
    <t xml:space="preserve">
- +1 de Mana para cada 1 Hex de raio de alcançe adicional.
- +2 de Mana para cada Turno de duração adicional.
- $+2^{(n-1)}$ de Mana conforme o nível da Fera, que pode variar de 1 a 5.</t>
  </si>
  <si>
    <t xml:space="preserve">
- +1 de Mana para cada 1 Hex de raio de alcançe adicional.
- +1 de Mana para cada Turno de duração adicional.
- $+2^{(n-1)}$ de Mana conforme o nível da Fera, que pode variar de 1 a 5.</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</si>
</sst>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7.0"/>
      <color theme="1"/>
      <name val="Arial"/>
      <scheme val="minor"/>
    </font>
    <font>
      <sz val="7.0"/>
      <color theme="1"/>
      <name val="Arial"/>
      <scheme val="minor"/>
    </font>
    <font>
      <sz val="7.0"/>
      <color rgb="FF000000"/>
      <name val="Arial"/>
      <scheme val="minor"/>
    </font>
    <font>
      <b/>
      <sz val="7.0"/>
      <color rgb="FF000000"/>
      <name val="Arial"/>
      <scheme val="minor"/>
    </font>
    <font>
      <sz val="7.0"/>
      <color theme="1"/>
      <name val="Arial"/>
    </font>
    <font>
      <b/>
      <sz val="7.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2" numFmtId="0" xfId="0" applyAlignment="1" applyFont="1">
      <alignment horizontal="left" readingOrder="0" vertical="center"/>
    </xf>
    <xf borderId="0" fillId="0" fontId="5" numFmtId="0" xfId="0" applyAlignment="1" applyFont="1">
      <alignment shrinkToFit="0" wrapText="1"/>
    </xf>
    <xf borderId="0" fillId="0" fontId="6" numFmtId="0" xfId="0" applyAlignment="1" applyFont="1">
      <alignment horizontal="left" readingOrder="0" shrinkToFit="0" vertical="center" wrapText="1"/>
    </xf>
    <xf borderId="0" fillId="0" fontId="2" numFmtId="0" xfId="0" applyAlignment="1" applyFont="1">
      <alignment shrinkToFit="0" vertical="center" wrapText="1"/>
    </xf>
    <xf borderId="0" fillId="0" fontId="2" numFmtId="0" xfId="0" applyAlignment="1" applyFont="1">
      <alignment readingOrder="0" vertical="center"/>
    </xf>
    <xf borderId="0" fillId="0" fontId="5" numFmtId="0" xfId="0" applyAlignment="1" applyFont="1">
      <alignment shrinkToFit="0" vertical="center" wrapText="1"/>
    </xf>
    <xf borderId="0" fillId="0" fontId="2"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2"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13"/>
    <col customWidth="1" min="2" max="2" width="9.5"/>
    <col customWidth="1" min="3" max="3" width="7.38"/>
    <col customWidth="1" min="4" max="4" width="12.5"/>
    <col customWidth="1" min="5" max="5" width="9.5"/>
    <col customWidth="1" min="6" max="6" width="7.88"/>
    <col customWidth="1" min="7" max="7" width="8.63"/>
    <col customWidth="1" min="8" max="8" width="12.38"/>
    <col customWidth="1" min="9" max="9" width="7.13"/>
    <col customWidth="1" min="10" max="10" width="10.25"/>
    <col customWidth="1" min="11" max="11" width="11.0"/>
    <col customWidth="1" min="12" max="12" width="8.63"/>
    <col customWidth="1" min="13" max="13" width="14.13"/>
    <col customWidth="1" min="14" max="14" width="14.63"/>
    <col customWidth="1" min="15" max="15" width="10.5"/>
    <col customWidth="1" min="16" max="16" width="53.38"/>
    <col customWidth="1" min="17" max="17" width="61.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1" t="s">
        <v>17</v>
      </c>
      <c r="B2" s="3" t="s">
        <v>18</v>
      </c>
      <c r="C2" s="3" t="s">
        <v>19</v>
      </c>
      <c r="D2" s="2" t="str">
        <f t="shared" ref="D2:D181" si="1">UPPER(CONCATENATE(C2, " | ",E2))</f>
        <v>MOLDAR MANA | F</v>
      </c>
      <c r="E2" s="3" t="s">
        <v>20</v>
      </c>
      <c r="F2" s="3" t="s">
        <v>21</v>
      </c>
      <c r="G2" s="3" t="s">
        <v>22</v>
      </c>
      <c r="H2" s="3"/>
      <c r="I2" s="3">
        <v>1.0</v>
      </c>
      <c r="J2" s="3" t="s">
        <v>23</v>
      </c>
      <c r="K2" s="3" t="s">
        <v>24</v>
      </c>
      <c r="L2" s="3" t="s">
        <v>24</v>
      </c>
      <c r="M2" s="3" t="s">
        <v>24</v>
      </c>
      <c r="N2" s="2"/>
      <c r="O2" s="2" t="s">
        <v>23</v>
      </c>
      <c r="P2" s="3" t="s">
        <v>25</v>
      </c>
      <c r="Q2" s="4" t="s">
        <v>26</v>
      </c>
      <c r="R2" s="2"/>
      <c r="S2" s="2"/>
      <c r="T2" s="2"/>
      <c r="U2" s="2"/>
      <c r="V2" s="2"/>
      <c r="W2" s="2"/>
      <c r="X2" s="2"/>
      <c r="Y2" s="2"/>
    </row>
    <row r="3">
      <c r="A3" s="5" t="str">
        <f>IFERROR(__xludf.DUMMYFUNCTION("LEFT(A2, 4) &amp; TEXT(VALUE(REGEXEXTRACT(A2, ""\d+"")) + 1, ""0000"")"),"MAN-0001")</f>
        <v>MAN-0001</v>
      </c>
      <c r="B3" s="3" t="s">
        <v>18</v>
      </c>
      <c r="C3" s="3" t="s">
        <v>19</v>
      </c>
      <c r="D3" s="2" t="str">
        <f t="shared" si="1"/>
        <v>MOLDAR MANA | F</v>
      </c>
      <c r="E3" s="3" t="s">
        <v>20</v>
      </c>
      <c r="F3" s="3" t="s">
        <v>27</v>
      </c>
      <c r="G3" s="3" t="s">
        <v>22</v>
      </c>
      <c r="H3" s="3"/>
      <c r="I3" s="3">
        <v>1.0</v>
      </c>
      <c r="J3" s="3" t="s">
        <v>23</v>
      </c>
      <c r="K3" s="3" t="s">
        <v>24</v>
      </c>
      <c r="L3" s="3" t="s">
        <v>24</v>
      </c>
      <c r="M3" s="3" t="s">
        <v>24</v>
      </c>
      <c r="N3" s="2"/>
      <c r="O3" s="2" t="s">
        <v>23</v>
      </c>
      <c r="P3" s="3" t="s">
        <v>25</v>
      </c>
      <c r="Q3" s="4" t="s">
        <v>26</v>
      </c>
      <c r="R3" s="2"/>
      <c r="S3" s="2"/>
      <c r="T3" s="2"/>
      <c r="U3" s="2"/>
      <c r="V3" s="2"/>
      <c r="W3" s="2"/>
      <c r="X3" s="2"/>
      <c r="Y3" s="2"/>
    </row>
    <row r="4">
      <c r="A4" s="5" t="str">
        <f>IFERROR(__xludf.DUMMYFUNCTION("LEFT(A3, 4) &amp; TEXT(VALUE(REGEXEXTRACT(A3, ""\d+"")) + 1, ""0000"")"),"MAN-0002")</f>
        <v>MAN-0002</v>
      </c>
      <c r="B4" s="3" t="s">
        <v>18</v>
      </c>
      <c r="C4" s="3" t="s">
        <v>19</v>
      </c>
      <c r="D4" s="2" t="str">
        <f t="shared" si="1"/>
        <v>MOLDAR MANA | F</v>
      </c>
      <c r="E4" s="3" t="s">
        <v>20</v>
      </c>
      <c r="F4" s="3" t="s">
        <v>28</v>
      </c>
      <c r="G4" s="3" t="s">
        <v>22</v>
      </c>
      <c r="H4" s="3"/>
      <c r="I4" s="3">
        <v>1.0</v>
      </c>
      <c r="J4" s="3" t="s">
        <v>23</v>
      </c>
      <c r="K4" s="3" t="s">
        <v>24</v>
      </c>
      <c r="L4" s="3" t="s">
        <v>24</v>
      </c>
      <c r="M4" s="3" t="s">
        <v>24</v>
      </c>
      <c r="N4" s="2"/>
      <c r="O4" s="2" t="s">
        <v>23</v>
      </c>
      <c r="P4" s="3" t="s">
        <v>25</v>
      </c>
      <c r="Q4" s="4" t="s">
        <v>26</v>
      </c>
      <c r="R4" s="2"/>
      <c r="S4" s="2"/>
      <c r="T4" s="2"/>
      <c r="U4" s="2"/>
      <c r="V4" s="2"/>
      <c r="W4" s="2"/>
      <c r="X4" s="2"/>
      <c r="Y4" s="2"/>
    </row>
    <row r="5">
      <c r="A5" s="5" t="str">
        <f>IFERROR(__xludf.DUMMYFUNCTION("LEFT(A4, 4) &amp; TEXT(VALUE(REGEXEXTRACT(A4, ""\d+"")) + 1, ""0000"")"),"MAN-0003")</f>
        <v>MAN-0003</v>
      </c>
      <c r="B5" s="3" t="s">
        <v>18</v>
      </c>
      <c r="C5" s="3" t="s">
        <v>19</v>
      </c>
      <c r="D5" s="2" t="str">
        <f t="shared" si="1"/>
        <v>MOLDAR MANA | F</v>
      </c>
      <c r="E5" s="3" t="s">
        <v>20</v>
      </c>
      <c r="F5" s="3" t="s">
        <v>29</v>
      </c>
      <c r="G5" s="3" t="s">
        <v>22</v>
      </c>
      <c r="H5" s="3"/>
      <c r="I5" s="3">
        <v>1.0</v>
      </c>
      <c r="J5" s="3" t="s">
        <v>23</v>
      </c>
      <c r="K5" s="3" t="s">
        <v>24</v>
      </c>
      <c r="L5" s="3" t="s">
        <v>24</v>
      </c>
      <c r="M5" s="3" t="s">
        <v>24</v>
      </c>
      <c r="N5" s="2"/>
      <c r="O5" s="2" t="s">
        <v>23</v>
      </c>
      <c r="P5" s="3" t="s">
        <v>25</v>
      </c>
      <c r="Q5" s="4" t="s">
        <v>26</v>
      </c>
      <c r="R5" s="2"/>
      <c r="S5" s="2"/>
      <c r="T5" s="2"/>
      <c r="U5" s="2"/>
      <c r="V5" s="2"/>
      <c r="W5" s="2"/>
      <c r="X5" s="2"/>
      <c r="Y5" s="2"/>
    </row>
    <row r="6">
      <c r="A6" s="5" t="str">
        <f>IFERROR(__xludf.DUMMYFUNCTION("LEFT(A5, 4) &amp; TEXT(VALUE(REGEXEXTRACT(A5, ""\d+"")) + 1, ""0000"")"),"MAN-0004")</f>
        <v>MAN-0004</v>
      </c>
      <c r="B6" s="3" t="s">
        <v>18</v>
      </c>
      <c r="C6" s="3" t="s">
        <v>19</v>
      </c>
      <c r="D6" s="2" t="str">
        <f t="shared" si="1"/>
        <v>MOLDAR MANA | F</v>
      </c>
      <c r="E6" s="3" t="s">
        <v>20</v>
      </c>
      <c r="F6" s="3" t="s">
        <v>30</v>
      </c>
      <c r="G6" s="3" t="s">
        <v>22</v>
      </c>
      <c r="H6" s="3"/>
      <c r="I6" s="3">
        <v>1.0</v>
      </c>
      <c r="J6" s="3" t="s">
        <v>23</v>
      </c>
      <c r="K6" s="3" t="s">
        <v>24</v>
      </c>
      <c r="L6" s="3" t="s">
        <v>24</v>
      </c>
      <c r="M6" s="3" t="s">
        <v>24</v>
      </c>
      <c r="N6" s="2"/>
      <c r="O6" s="2" t="s">
        <v>23</v>
      </c>
      <c r="P6" s="3" t="s">
        <v>25</v>
      </c>
      <c r="Q6" s="4" t="s">
        <v>26</v>
      </c>
      <c r="R6" s="2"/>
      <c r="S6" s="2"/>
      <c r="T6" s="2"/>
      <c r="U6" s="2"/>
      <c r="V6" s="2"/>
      <c r="W6" s="2"/>
      <c r="X6" s="2"/>
      <c r="Y6" s="2"/>
    </row>
    <row r="7">
      <c r="A7" s="5" t="str">
        <f>IFERROR(__xludf.DUMMYFUNCTION("LEFT(A6, 4) &amp; TEXT(VALUE(REGEXEXTRACT(A6, ""\d+"")) + 1, ""0000"")"),"MAN-0005")</f>
        <v>MAN-0005</v>
      </c>
      <c r="B7" s="3" t="s">
        <v>18</v>
      </c>
      <c r="C7" s="3" t="s">
        <v>31</v>
      </c>
      <c r="D7" s="2" t="str">
        <f t="shared" si="1"/>
        <v>SENTIR MANA | F</v>
      </c>
      <c r="E7" s="3" t="s">
        <v>20</v>
      </c>
      <c r="F7" s="3" t="s">
        <v>21</v>
      </c>
      <c r="G7" s="3" t="s">
        <v>32</v>
      </c>
      <c r="H7" s="3" t="s">
        <v>33</v>
      </c>
      <c r="I7" s="3">
        <v>2.0</v>
      </c>
      <c r="J7" s="3" t="s">
        <v>23</v>
      </c>
      <c r="K7" s="3" t="s">
        <v>34</v>
      </c>
      <c r="L7" s="3" t="s">
        <v>35</v>
      </c>
      <c r="M7" s="3" t="s">
        <v>35</v>
      </c>
      <c r="N7" s="3" t="s">
        <v>36</v>
      </c>
      <c r="O7" s="3" t="s">
        <v>23</v>
      </c>
      <c r="P7" s="3" t="s">
        <v>37</v>
      </c>
      <c r="Q7" s="4"/>
      <c r="R7" s="2"/>
      <c r="S7" s="2"/>
      <c r="T7" s="2"/>
      <c r="U7" s="2"/>
      <c r="V7" s="2"/>
      <c r="W7" s="2"/>
      <c r="X7" s="2"/>
      <c r="Y7" s="2"/>
    </row>
    <row r="8">
      <c r="A8" s="5" t="str">
        <f>IFERROR(__xludf.DUMMYFUNCTION("LEFT(A7, 4) &amp; TEXT(VALUE(REGEXEXTRACT(A7, ""\d+"")) + 1, ""0000"")"),"MAN-0006")</f>
        <v>MAN-0006</v>
      </c>
      <c r="B8" s="3" t="s">
        <v>18</v>
      </c>
      <c r="C8" s="3" t="s">
        <v>31</v>
      </c>
      <c r="D8" s="2" t="str">
        <f t="shared" si="1"/>
        <v>SENTIR MANA | F</v>
      </c>
      <c r="E8" s="3" t="s">
        <v>20</v>
      </c>
      <c r="F8" s="3" t="s">
        <v>27</v>
      </c>
      <c r="G8" s="3" t="s">
        <v>32</v>
      </c>
      <c r="H8" s="3" t="s">
        <v>33</v>
      </c>
      <c r="I8" s="3">
        <v>2.0</v>
      </c>
      <c r="J8" s="3" t="s">
        <v>23</v>
      </c>
      <c r="K8" s="3" t="s">
        <v>34</v>
      </c>
      <c r="L8" s="3" t="s">
        <v>38</v>
      </c>
      <c r="M8" s="3" t="s">
        <v>38</v>
      </c>
      <c r="N8" s="3" t="s">
        <v>36</v>
      </c>
      <c r="O8" s="3" t="s">
        <v>23</v>
      </c>
      <c r="P8" s="3" t="s">
        <v>37</v>
      </c>
      <c r="Q8" s="4"/>
      <c r="R8" s="2"/>
      <c r="S8" s="2"/>
      <c r="T8" s="2"/>
      <c r="U8" s="2"/>
      <c r="V8" s="2"/>
      <c r="W8" s="2"/>
      <c r="X8" s="2"/>
      <c r="Y8" s="2"/>
    </row>
    <row r="9">
      <c r="A9" s="5" t="str">
        <f>IFERROR(__xludf.DUMMYFUNCTION("LEFT(A8, 4) &amp; TEXT(VALUE(REGEXEXTRACT(A8, ""\d+"")) + 1, ""0000"")"),"MAN-0007")</f>
        <v>MAN-0007</v>
      </c>
      <c r="B9" s="3" t="s">
        <v>18</v>
      </c>
      <c r="C9" s="3" t="s">
        <v>31</v>
      </c>
      <c r="D9" s="2" t="str">
        <f t="shared" si="1"/>
        <v>SENTIR MANA | F</v>
      </c>
      <c r="E9" s="3" t="s">
        <v>20</v>
      </c>
      <c r="F9" s="3" t="s">
        <v>28</v>
      </c>
      <c r="G9" s="3" t="s">
        <v>32</v>
      </c>
      <c r="H9" s="3" t="s">
        <v>33</v>
      </c>
      <c r="I9" s="3">
        <v>2.0</v>
      </c>
      <c r="J9" s="3" t="s">
        <v>23</v>
      </c>
      <c r="K9" s="3" t="s">
        <v>34</v>
      </c>
      <c r="L9" s="3" t="s">
        <v>39</v>
      </c>
      <c r="M9" s="3" t="s">
        <v>39</v>
      </c>
      <c r="N9" s="3" t="s">
        <v>40</v>
      </c>
      <c r="O9" s="3" t="s">
        <v>23</v>
      </c>
      <c r="P9" s="3" t="s">
        <v>37</v>
      </c>
      <c r="Q9" s="4"/>
      <c r="R9" s="2"/>
      <c r="S9" s="2"/>
      <c r="T9" s="2"/>
      <c r="U9" s="2"/>
      <c r="V9" s="2"/>
      <c r="W9" s="2"/>
      <c r="X9" s="2"/>
      <c r="Y9" s="2"/>
    </row>
    <row r="10">
      <c r="A10" s="5" t="str">
        <f>IFERROR(__xludf.DUMMYFUNCTION("LEFT(A9, 4) &amp; TEXT(VALUE(REGEXEXTRACT(A9, ""\d+"")) + 1, ""0000"")"),"MAN-0008")</f>
        <v>MAN-0008</v>
      </c>
      <c r="B10" s="3" t="s">
        <v>18</v>
      </c>
      <c r="C10" s="3" t="s">
        <v>31</v>
      </c>
      <c r="D10" s="2" t="str">
        <f t="shared" si="1"/>
        <v>SENTIR MANA | F</v>
      </c>
      <c r="E10" s="3" t="s">
        <v>20</v>
      </c>
      <c r="F10" s="3" t="s">
        <v>29</v>
      </c>
      <c r="G10" s="3" t="s">
        <v>32</v>
      </c>
      <c r="H10" s="3" t="s">
        <v>33</v>
      </c>
      <c r="I10" s="3">
        <v>2.0</v>
      </c>
      <c r="J10" s="3" t="s">
        <v>23</v>
      </c>
      <c r="K10" s="3" t="s">
        <v>34</v>
      </c>
      <c r="L10" s="3" t="s">
        <v>41</v>
      </c>
      <c r="M10" s="3" t="s">
        <v>41</v>
      </c>
      <c r="N10" s="3" t="s">
        <v>40</v>
      </c>
      <c r="O10" s="3" t="s">
        <v>23</v>
      </c>
      <c r="P10" s="3" t="s">
        <v>37</v>
      </c>
      <c r="Q10" s="4"/>
      <c r="R10" s="2"/>
      <c r="S10" s="2"/>
      <c r="T10" s="2"/>
      <c r="U10" s="2"/>
      <c r="V10" s="2"/>
      <c r="W10" s="2"/>
      <c r="X10" s="2"/>
      <c r="Y10" s="2"/>
    </row>
    <row r="11">
      <c r="A11" s="5" t="str">
        <f>IFERROR(__xludf.DUMMYFUNCTION("LEFT(A10, 4) &amp; TEXT(VALUE(REGEXEXTRACT(A10, ""\d+"")) + 1, ""0000"")"),"MAN-0009")</f>
        <v>MAN-0009</v>
      </c>
      <c r="B11" s="3" t="s">
        <v>18</v>
      </c>
      <c r="C11" s="3" t="s">
        <v>31</v>
      </c>
      <c r="D11" s="2" t="str">
        <f t="shared" si="1"/>
        <v>SENTIR MANA | F</v>
      </c>
      <c r="E11" s="3" t="s">
        <v>20</v>
      </c>
      <c r="F11" s="3" t="s">
        <v>30</v>
      </c>
      <c r="G11" s="3" t="s">
        <v>32</v>
      </c>
      <c r="H11" s="3" t="s">
        <v>33</v>
      </c>
      <c r="I11" s="3">
        <v>2.0</v>
      </c>
      <c r="J11" s="3" t="s">
        <v>23</v>
      </c>
      <c r="K11" s="3" t="s">
        <v>34</v>
      </c>
      <c r="L11" s="3" t="s">
        <v>42</v>
      </c>
      <c r="M11" s="3" t="s">
        <v>42</v>
      </c>
      <c r="N11" s="3" t="s">
        <v>43</v>
      </c>
      <c r="O11" s="3" t="s">
        <v>23</v>
      </c>
      <c r="P11" s="3" t="s">
        <v>37</v>
      </c>
      <c r="Q11" s="4"/>
      <c r="R11" s="2"/>
      <c r="S11" s="2"/>
      <c r="T11" s="2"/>
      <c r="U11" s="2"/>
      <c r="V11" s="2"/>
      <c r="W11" s="2"/>
      <c r="X11" s="2"/>
      <c r="Y11" s="2"/>
    </row>
    <row r="12">
      <c r="A12" s="5" t="str">
        <f>IFERROR(__xludf.DUMMYFUNCTION("LEFT(A11, 4) &amp; TEXT(VALUE(REGEXEXTRACT(A11, ""\d+"")) + 1, ""0000"")"),"MAN-0010")</f>
        <v>MAN-0010</v>
      </c>
      <c r="B12" s="3" t="s">
        <v>18</v>
      </c>
      <c r="C12" s="3" t="s">
        <v>44</v>
      </c>
      <c r="D12" s="2" t="str">
        <f t="shared" si="1"/>
        <v>SENTIR AURA | F</v>
      </c>
      <c r="E12" s="3" t="s">
        <v>20</v>
      </c>
      <c r="F12" s="3" t="s">
        <v>21</v>
      </c>
      <c r="G12" s="3" t="s">
        <v>32</v>
      </c>
      <c r="H12" s="3" t="s">
        <v>33</v>
      </c>
      <c r="I12" s="3">
        <v>2.0</v>
      </c>
      <c r="J12" s="3" t="s">
        <v>23</v>
      </c>
      <c r="K12" s="3" t="s">
        <v>34</v>
      </c>
      <c r="L12" s="3" t="s">
        <v>35</v>
      </c>
      <c r="M12" s="3" t="s">
        <v>35</v>
      </c>
      <c r="N12" s="3" t="s">
        <v>36</v>
      </c>
      <c r="O12" s="2" t="s">
        <v>23</v>
      </c>
      <c r="P12" s="3" t="s">
        <v>45</v>
      </c>
      <c r="Q12" s="3" t="s">
        <v>46</v>
      </c>
      <c r="R12" s="2"/>
      <c r="S12" s="2"/>
      <c r="T12" s="2"/>
      <c r="U12" s="2"/>
      <c r="V12" s="2"/>
      <c r="W12" s="2"/>
      <c r="X12" s="2"/>
      <c r="Y12" s="2"/>
    </row>
    <row r="13">
      <c r="A13" s="5" t="str">
        <f>IFERROR(__xludf.DUMMYFUNCTION("LEFT(A12, 4) &amp; TEXT(VALUE(REGEXEXTRACT(A12, ""\d+"")) + 1, ""0000"")"),"MAN-0011")</f>
        <v>MAN-0011</v>
      </c>
      <c r="B13" s="3" t="s">
        <v>18</v>
      </c>
      <c r="C13" s="3" t="s">
        <v>44</v>
      </c>
      <c r="D13" s="2" t="str">
        <f t="shared" si="1"/>
        <v>SENTIR AURA | F</v>
      </c>
      <c r="E13" s="3" t="s">
        <v>20</v>
      </c>
      <c r="F13" s="3" t="s">
        <v>27</v>
      </c>
      <c r="G13" s="3" t="s">
        <v>32</v>
      </c>
      <c r="H13" s="3" t="s">
        <v>33</v>
      </c>
      <c r="I13" s="3">
        <v>2.0</v>
      </c>
      <c r="J13" s="3" t="s">
        <v>23</v>
      </c>
      <c r="K13" s="3" t="s">
        <v>34</v>
      </c>
      <c r="L13" s="3" t="s">
        <v>38</v>
      </c>
      <c r="M13" s="3" t="s">
        <v>38</v>
      </c>
      <c r="N13" s="3" t="s">
        <v>36</v>
      </c>
      <c r="O13" s="2" t="s">
        <v>23</v>
      </c>
      <c r="P13" s="3" t="s">
        <v>45</v>
      </c>
      <c r="Q13" s="3" t="s">
        <v>46</v>
      </c>
      <c r="R13" s="2"/>
      <c r="S13" s="2"/>
      <c r="T13" s="2"/>
      <c r="U13" s="2"/>
      <c r="V13" s="2"/>
      <c r="W13" s="2"/>
      <c r="X13" s="2"/>
      <c r="Y13" s="2"/>
    </row>
    <row r="14">
      <c r="A14" s="5" t="str">
        <f>IFERROR(__xludf.DUMMYFUNCTION("LEFT(A13, 4) &amp; TEXT(VALUE(REGEXEXTRACT(A13, ""\d+"")) + 1, ""0000"")"),"MAN-0012")</f>
        <v>MAN-0012</v>
      </c>
      <c r="B14" s="3" t="s">
        <v>18</v>
      </c>
      <c r="C14" s="3" t="s">
        <v>44</v>
      </c>
      <c r="D14" s="2" t="str">
        <f t="shared" si="1"/>
        <v>SENTIR AURA | F</v>
      </c>
      <c r="E14" s="3" t="s">
        <v>20</v>
      </c>
      <c r="F14" s="3" t="s">
        <v>28</v>
      </c>
      <c r="G14" s="3" t="s">
        <v>32</v>
      </c>
      <c r="H14" s="3" t="s">
        <v>33</v>
      </c>
      <c r="I14" s="3">
        <v>2.0</v>
      </c>
      <c r="J14" s="3" t="s">
        <v>23</v>
      </c>
      <c r="K14" s="3" t="s">
        <v>34</v>
      </c>
      <c r="L14" s="3" t="s">
        <v>39</v>
      </c>
      <c r="M14" s="3" t="s">
        <v>39</v>
      </c>
      <c r="N14" s="3" t="s">
        <v>40</v>
      </c>
      <c r="O14" s="2" t="s">
        <v>23</v>
      </c>
      <c r="P14" s="3" t="s">
        <v>45</v>
      </c>
      <c r="Q14" s="3" t="s">
        <v>46</v>
      </c>
      <c r="R14" s="2"/>
      <c r="S14" s="2"/>
      <c r="T14" s="2"/>
      <c r="U14" s="2"/>
      <c r="V14" s="2"/>
      <c r="W14" s="2"/>
      <c r="X14" s="2"/>
      <c r="Y14" s="2"/>
    </row>
    <row r="15">
      <c r="A15" s="5" t="str">
        <f>IFERROR(__xludf.DUMMYFUNCTION("LEFT(A14, 4) &amp; TEXT(VALUE(REGEXEXTRACT(A14, ""\d+"")) + 1, ""0000"")"),"MAN-0013")</f>
        <v>MAN-0013</v>
      </c>
      <c r="B15" s="3" t="s">
        <v>18</v>
      </c>
      <c r="C15" s="3" t="s">
        <v>44</v>
      </c>
      <c r="D15" s="2" t="str">
        <f t="shared" si="1"/>
        <v>SENTIR AURA | F</v>
      </c>
      <c r="E15" s="3" t="s">
        <v>20</v>
      </c>
      <c r="F15" s="3" t="s">
        <v>29</v>
      </c>
      <c r="G15" s="3" t="s">
        <v>32</v>
      </c>
      <c r="H15" s="3" t="s">
        <v>33</v>
      </c>
      <c r="I15" s="3">
        <v>2.0</v>
      </c>
      <c r="J15" s="3" t="s">
        <v>23</v>
      </c>
      <c r="K15" s="3" t="s">
        <v>34</v>
      </c>
      <c r="L15" s="3" t="s">
        <v>41</v>
      </c>
      <c r="M15" s="3" t="s">
        <v>41</v>
      </c>
      <c r="N15" s="3" t="s">
        <v>40</v>
      </c>
      <c r="O15" s="2" t="s">
        <v>23</v>
      </c>
      <c r="P15" s="3" t="s">
        <v>45</v>
      </c>
      <c r="Q15" s="3" t="s">
        <v>46</v>
      </c>
      <c r="R15" s="2"/>
      <c r="S15" s="2"/>
      <c r="T15" s="2"/>
      <c r="U15" s="2"/>
      <c r="V15" s="2"/>
      <c r="W15" s="2"/>
      <c r="X15" s="2"/>
      <c r="Y15" s="2"/>
    </row>
    <row r="16">
      <c r="A16" s="5" t="str">
        <f>IFERROR(__xludf.DUMMYFUNCTION("LEFT(A15, 4) &amp; TEXT(VALUE(REGEXEXTRACT(A15, ""\d+"")) + 1, ""0000"")"),"MAN-0014")</f>
        <v>MAN-0014</v>
      </c>
      <c r="B16" s="3" t="s">
        <v>18</v>
      </c>
      <c r="C16" s="3" t="s">
        <v>44</v>
      </c>
      <c r="D16" s="2" t="str">
        <f t="shared" si="1"/>
        <v>SENTIR AURA | F</v>
      </c>
      <c r="E16" s="3" t="s">
        <v>20</v>
      </c>
      <c r="F16" s="3" t="s">
        <v>30</v>
      </c>
      <c r="G16" s="3" t="s">
        <v>32</v>
      </c>
      <c r="H16" s="3" t="s">
        <v>33</v>
      </c>
      <c r="I16" s="3">
        <v>2.0</v>
      </c>
      <c r="J16" s="3" t="s">
        <v>23</v>
      </c>
      <c r="K16" s="3" t="s">
        <v>34</v>
      </c>
      <c r="L16" s="3" t="s">
        <v>42</v>
      </c>
      <c r="M16" s="3" t="s">
        <v>42</v>
      </c>
      <c r="N16" s="3" t="s">
        <v>43</v>
      </c>
      <c r="O16" s="2" t="s">
        <v>23</v>
      </c>
      <c r="P16" s="3" t="s">
        <v>45</v>
      </c>
      <c r="Q16" s="3" t="s">
        <v>46</v>
      </c>
      <c r="R16" s="2"/>
      <c r="S16" s="2"/>
      <c r="T16" s="2"/>
      <c r="U16" s="2"/>
      <c r="V16" s="2"/>
      <c r="W16" s="2"/>
      <c r="X16" s="2"/>
      <c r="Y16" s="2"/>
    </row>
    <row r="17">
      <c r="A17" s="5" t="str">
        <f>IFERROR(__xludf.DUMMYFUNCTION("LEFT(A16, 4) &amp; TEXT(VALUE(REGEXEXTRACT(A16, ""\d+"")) + 1, ""0000"")"),"MAN-0015")</f>
        <v>MAN-0015</v>
      </c>
      <c r="B17" s="3" t="s">
        <v>18</v>
      </c>
      <c r="C17" s="3" t="s">
        <v>47</v>
      </c>
      <c r="D17" s="2" t="str">
        <f t="shared" si="1"/>
        <v>OCULTAR AURA | M</v>
      </c>
      <c r="E17" s="3" t="s">
        <v>48</v>
      </c>
      <c r="F17" s="3" t="s">
        <v>21</v>
      </c>
      <c r="G17" s="3" t="s">
        <v>22</v>
      </c>
      <c r="H17" s="3" t="s">
        <v>49</v>
      </c>
      <c r="I17" s="3">
        <v>4.0</v>
      </c>
      <c r="J17" s="3" t="s">
        <v>50</v>
      </c>
      <c r="K17" s="3" t="s">
        <v>24</v>
      </c>
      <c r="L17" s="3" t="s">
        <v>24</v>
      </c>
      <c r="M17" s="3" t="s">
        <v>24</v>
      </c>
      <c r="N17" s="3" t="s">
        <v>51</v>
      </c>
      <c r="O17" s="3" t="s">
        <v>52</v>
      </c>
      <c r="P17" s="3" t="s">
        <v>53</v>
      </c>
      <c r="Q17" s="3" t="s">
        <v>54</v>
      </c>
      <c r="R17" s="2"/>
      <c r="S17" s="2"/>
      <c r="T17" s="2"/>
      <c r="U17" s="2"/>
      <c r="V17" s="2"/>
      <c r="W17" s="2"/>
      <c r="X17" s="2"/>
      <c r="Y17" s="2"/>
    </row>
    <row r="18">
      <c r="A18" s="5" t="str">
        <f>IFERROR(__xludf.DUMMYFUNCTION("LEFT(A17, 4) &amp; TEXT(VALUE(REGEXEXTRACT(A17, ""\d+"")) + 1, ""0000"")"),"MAN-0016")</f>
        <v>MAN-0016</v>
      </c>
      <c r="B18" s="3" t="s">
        <v>18</v>
      </c>
      <c r="C18" s="3" t="s">
        <v>47</v>
      </c>
      <c r="D18" s="2" t="str">
        <f t="shared" si="1"/>
        <v>OCULTAR AURA | M</v>
      </c>
      <c r="E18" s="3" t="s">
        <v>48</v>
      </c>
      <c r="F18" s="3" t="s">
        <v>27</v>
      </c>
      <c r="G18" s="3" t="s">
        <v>22</v>
      </c>
      <c r="H18" s="3" t="s">
        <v>49</v>
      </c>
      <c r="I18" s="3">
        <v>4.0</v>
      </c>
      <c r="J18" s="3" t="s">
        <v>50</v>
      </c>
      <c r="K18" s="3" t="s">
        <v>24</v>
      </c>
      <c r="L18" s="3" t="s">
        <v>24</v>
      </c>
      <c r="M18" s="3" t="s">
        <v>24</v>
      </c>
      <c r="N18" s="3" t="s">
        <v>51</v>
      </c>
      <c r="O18" s="3" t="s">
        <v>55</v>
      </c>
      <c r="P18" s="3" t="s">
        <v>53</v>
      </c>
      <c r="Q18" s="3" t="s">
        <v>54</v>
      </c>
      <c r="R18" s="2"/>
      <c r="S18" s="2"/>
      <c r="T18" s="2"/>
      <c r="U18" s="2"/>
      <c r="V18" s="2"/>
      <c r="W18" s="2"/>
      <c r="X18" s="2"/>
      <c r="Y18" s="2"/>
    </row>
    <row r="19">
      <c r="A19" s="5" t="str">
        <f>IFERROR(__xludf.DUMMYFUNCTION("LEFT(A18, 4) &amp; TEXT(VALUE(REGEXEXTRACT(A18, ""\d+"")) + 1, ""0000"")"),"MAN-0017")</f>
        <v>MAN-0017</v>
      </c>
      <c r="B19" s="3" t="s">
        <v>18</v>
      </c>
      <c r="C19" s="3" t="s">
        <v>47</v>
      </c>
      <c r="D19" s="2" t="str">
        <f t="shared" si="1"/>
        <v>OCULTAR AURA | M</v>
      </c>
      <c r="E19" s="3" t="s">
        <v>48</v>
      </c>
      <c r="F19" s="3" t="s">
        <v>28</v>
      </c>
      <c r="G19" s="3" t="s">
        <v>22</v>
      </c>
      <c r="H19" s="3" t="s">
        <v>49</v>
      </c>
      <c r="I19" s="3">
        <v>4.0</v>
      </c>
      <c r="J19" s="3" t="s">
        <v>50</v>
      </c>
      <c r="K19" s="3" t="s">
        <v>24</v>
      </c>
      <c r="L19" s="3" t="s">
        <v>24</v>
      </c>
      <c r="M19" s="3" t="s">
        <v>24</v>
      </c>
      <c r="N19" s="3" t="s">
        <v>56</v>
      </c>
      <c r="O19" s="3" t="s">
        <v>57</v>
      </c>
      <c r="P19" s="3" t="s">
        <v>53</v>
      </c>
      <c r="Q19" s="3" t="s">
        <v>54</v>
      </c>
      <c r="R19" s="2"/>
      <c r="S19" s="2"/>
      <c r="T19" s="2"/>
      <c r="U19" s="2"/>
      <c r="V19" s="2"/>
      <c r="W19" s="2"/>
      <c r="X19" s="2"/>
      <c r="Y19" s="2"/>
    </row>
    <row r="20">
      <c r="A20" s="5" t="str">
        <f>IFERROR(__xludf.DUMMYFUNCTION("LEFT(A19, 4) &amp; TEXT(VALUE(REGEXEXTRACT(A19, ""\d+"")) + 1, ""0000"")"),"MAN-0018")</f>
        <v>MAN-0018</v>
      </c>
      <c r="B20" s="3" t="s">
        <v>18</v>
      </c>
      <c r="C20" s="3" t="s">
        <v>47</v>
      </c>
      <c r="D20" s="2" t="str">
        <f t="shared" si="1"/>
        <v>OCULTAR AURA | M</v>
      </c>
      <c r="E20" s="3" t="s">
        <v>48</v>
      </c>
      <c r="F20" s="3" t="s">
        <v>29</v>
      </c>
      <c r="G20" s="3" t="s">
        <v>22</v>
      </c>
      <c r="H20" s="3" t="s">
        <v>49</v>
      </c>
      <c r="I20" s="3">
        <v>4.0</v>
      </c>
      <c r="J20" s="3" t="s">
        <v>50</v>
      </c>
      <c r="K20" s="3" t="s">
        <v>24</v>
      </c>
      <c r="L20" s="3" t="s">
        <v>24</v>
      </c>
      <c r="M20" s="3" t="s">
        <v>24</v>
      </c>
      <c r="N20" s="3" t="s">
        <v>58</v>
      </c>
      <c r="O20" s="3" t="s">
        <v>59</v>
      </c>
      <c r="P20" s="3" t="s">
        <v>53</v>
      </c>
      <c r="Q20" s="3" t="s">
        <v>54</v>
      </c>
      <c r="R20" s="2"/>
      <c r="S20" s="2"/>
      <c r="T20" s="2"/>
      <c r="U20" s="2"/>
      <c r="V20" s="2"/>
      <c r="W20" s="2"/>
      <c r="X20" s="2"/>
      <c r="Y20" s="2"/>
    </row>
    <row r="21">
      <c r="A21" s="5" t="str">
        <f>IFERROR(__xludf.DUMMYFUNCTION("LEFT(A20, 4) &amp; TEXT(VALUE(REGEXEXTRACT(A20, ""\d+"")) + 1, ""0000"")"),"MAN-0019")</f>
        <v>MAN-0019</v>
      </c>
      <c r="B21" s="3" t="s">
        <v>18</v>
      </c>
      <c r="C21" s="3" t="s">
        <v>47</v>
      </c>
      <c r="D21" s="2" t="str">
        <f t="shared" si="1"/>
        <v>OCULTAR AURA | M</v>
      </c>
      <c r="E21" s="3" t="s">
        <v>48</v>
      </c>
      <c r="F21" s="3" t="s">
        <v>30</v>
      </c>
      <c r="G21" s="3" t="s">
        <v>22</v>
      </c>
      <c r="H21" s="3" t="s">
        <v>49</v>
      </c>
      <c r="I21" s="3">
        <v>4.0</v>
      </c>
      <c r="J21" s="3" t="s">
        <v>23</v>
      </c>
      <c r="K21" s="3" t="s">
        <v>24</v>
      </c>
      <c r="L21" s="3" t="s">
        <v>24</v>
      </c>
      <c r="M21" s="3" t="s">
        <v>24</v>
      </c>
      <c r="N21" s="3" t="s">
        <v>60</v>
      </c>
      <c r="O21" s="3" t="s">
        <v>61</v>
      </c>
      <c r="P21" s="3" t="s">
        <v>53</v>
      </c>
      <c r="Q21" s="3" t="s">
        <v>54</v>
      </c>
      <c r="R21" s="2"/>
      <c r="S21" s="2"/>
      <c r="T21" s="2"/>
      <c r="U21" s="2"/>
      <c r="V21" s="2"/>
      <c r="W21" s="2"/>
      <c r="X21" s="2"/>
      <c r="Y21" s="2"/>
    </row>
    <row r="22">
      <c r="A22" s="5" t="str">
        <f>IFERROR(__xludf.DUMMYFUNCTION("LEFT(A21, 4) &amp; TEXT(VALUE(REGEXEXTRACT(A21, ""\d+"")) + 1, ""0000"")"),"MAN-0020")</f>
        <v>MAN-0020</v>
      </c>
      <c r="B22" s="3" t="s">
        <v>18</v>
      </c>
      <c r="C22" s="3" t="s">
        <v>62</v>
      </c>
      <c r="D22" s="2" t="str">
        <f t="shared" si="1"/>
        <v>SUSPENDER FEITIÇO | M</v>
      </c>
      <c r="E22" s="3" t="s">
        <v>48</v>
      </c>
      <c r="F22" s="3" t="s">
        <v>21</v>
      </c>
      <c r="G22" s="3" t="s">
        <v>63</v>
      </c>
      <c r="H22" s="3" t="s">
        <v>33</v>
      </c>
      <c r="I22" s="3">
        <v>4.0</v>
      </c>
      <c r="J22" s="3" t="s">
        <v>23</v>
      </c>
      <c r="K22" s="3" t="s">
        <v>64</v>
      </c>
      <c r="L22" s="6" t="s">
        <v>65</v>
      </c>
      <c r="M22" s="3" t="s">
        <v>66</v>
      </c>
      <c r="N22" s="3" t="s">
        <v>36</v>
      </c>
      <c r="O22" s="3" t="s">
        <v>23</v>
      </c>
      <c r="P22" s="3" t="s">
        <v>67</v>
      </c>
      <c r="Q22" s="3" t="s">
        <v>68</v>
      </c>
      <c r="R22" s="2"/>
      <c r="S22" s="2"/>
      <c r="T22" s="2"/>
      <c r="U22" s="2"/>
      <c r="V22" s="2"/>
      <c r="W22" s="2"/>
      <c r="X22" s="2"/>
      <c r="Y22" s="2"/>
    </row>
    <row r="23">
      <c r="A23" s="5" t="str">
        <f>IFERROR(__xludf.DUMMYFUNCTION("LEFT(A22, 4) &amp; TEXT(VALUE(REGEXEXTRACT(A22, ""\d+"")) + 1, ""0000"")"),"MAN-0021")</f>
        <v>MAN-0021</v>
      </c>
      <c r="B23" s="3" t="s">
        <v>18</v>
      </c>
      <c r="C23" s="3" t="s">
        <v>62</v>
      </c>
      <c r="D23" s="2" t="str">
        <f t="shared" si="1"/>
        <v>SUSPENDER FEITIÇO | M</v>
      </c>
      <c r="E23" s="3" t="s">
        <v>48</v>
      </c>
      <c r="F23" s="3" t="s">
        <v>27</v>
      </c>
      <c r="G23" s="3" t="s">
        <v>63</v>
      </c>
      <c r="H23" s="3" t="s">
        <v>33</v>
      </c>
      <c r="I23" s="3">
        <v>4.0</v>
      </c>
      <c r="J23" s="3" t="s">
        <v>23</v>
      </c>
      <c r="K23" s="3" t="s">
        <v>64</v>
      </c>
      <c r="L23" s="6" t="s">
        <v>35</v>
      </c>
      <c r="M23" s="3" t="s">
        <v>66</v>
      </c>
      <c r="N23" s="3" t="s">
        <v>36</v>
      </c>
      <c r="O23" s="3" t="s">
        <v>23</v>
      </c>
      <c r="P23" s="3" t="s">
        <v>67</v>
      </c>
      <c r="Q23" s="3" t="s">
        <v>69</v>
      </c>
      <c r="R23" s="2"/>
      <c r="S23" s="2"/>
      <c r="T23" s="2"/>
      <c r="U23" s="2"/>
      <c r="V23" s="2"/>
      <c r="W23" s="2"/>
      <c r="X23" s="2"/>
      <c r="Y23" s="2"/>
    </row>
    <row r="24">
      <c r="A24" s="5" t="str">
        <f>IFERROR(__xludf.DUMMYFUNCTION("LEFT(A23, 4) &amp; TEXT(VALUE(REGEXEXTRACT(A23, ""\d+"")) + 1, ""0000"")"),"MAN-0022")</f>
        <v>MAN-0022</v>
      </c>
      <c r="B24" s="3" t="s">
        <v>18</v>
      </c>
      <c r="C24" s="3" t="s">
        <v>62</v>
      </c>
      <c r="D24" s="2" t="str">
        <f t="shared" si="1"/>
        <v>SUSPENDER FEITIÇO | M</v>
      </c>
      <c r="E24" s="3" t="s">
        <v>48</v>
      </c>
      <c r="F24" s="3" t="s">
        <v>28</v>
      </c>
      <c r="G24" s="3" t="s">
        <v>63</v>
      </c>
      <c r="H24" s="3" t="s">
        <v>33</v>
      </c>
      <c r="I24" s="3">
        <v>4.0</v>
      </c>
      <c r="J24" s="3" t="s">
        <v>23</v>
      </c>
      <c r="K24" s="3" t="s">
        <v>64</v>
      </c>
      <c r="L24" s="6" t="s">
        <v>70</v>
      </c>
      <c r="M24" s="3" t="s">
        <v>66</v>
      </c>
      <c r="N24" s="3" t="s">
        <v>40</v>
      </c>
      <c r="O24" s="3" t="s">
        <v>23</v>
      </c>
      <c r="P24" s="3" t="s">
        <v>67</v>
      </c>
      <c r="Q24" s="3" t="s">
        <v>71</v>
      </c>
      <c r="R24" s="2"/>
      <c r="S24" s="2"/>
      <c r="T24" s="2"/>
      <c r="U24" s="2"/>
      <c r="V24" s="2"/>
      <c r="W24" s="2"/>
      <c r="X24" s="2"/>
      <c r="Y24" s="2"/>
    </row>
    <row r="25">
      <c r="A25" s="5" t="str">
        <f>IFERROR(__xludf.DUMMYFUNCTION("LEFT(A24, 4) &amp; TEXT(VALUE(REGEXEXTRACT(A24, ""\d+"")) + 1, ""0000"")"),"MAN-0023")</f>
        <v>MAN-0023</v>
      </c>
      <c r="B25" s="3" t="s">
        <v>18</v>
      </c>
      <c r="C25" s="3" t="s">
        <v>62</v>
      </c>
      <c r="D25" s="2" t="str">
        <f t="shared" si="1"/>
        <v>SUSPENDER FEITIÇO | M</v>
      </c>
      <c r="E25" s="3" t="s">
        <v>48</v>
      </c>
      <c r="F25" s="3" t="s">
        <v>29</v>
      </c>
      <c r="G25" s="3" t="s">
        <v>63</v>
      </c>
      <c r="H25" s="3" t="s">
        <v>33</v>
      </c>
      <c r="I25" s="3">
        <v>4.0</v>
      </c>
      <c r="J25" s="3" t="s">
        <v>23</v>
      </c>
      <c r="K25" s="3" t="s">
        <v>64</v>
      </c>
      <c r="L25" s="6" t="s">
        <v>72</v>
      </c>
      <c r="M25" s="3" t="s">
        <v>66</v>
      </c>
      <c r="N25" s="3" t="s">
        <v>40</v>
      </c>
      <c r="O25" s="3" t="s">
        <v>23</v>
      </c>
      <c r="P25" s="3" t="s">
        <v>67</v>
      </c>
      <c r="Q25" s="3" t="s">
        <v>73</v>
      </c>
      <c r="R25" s="2"/>
      <c r="S25" s="2"/>
      <c r="T25" s="2"/>
      <c r="U25" s="2"/>
      <c r="V25" s="2"/>
      <c r="W25" s="2"/>
      <c r="X25" s="2"/>
      <c r="Y25" s="2"/>
    </row>
    <row r="26">
      <c r="A26" s="5" t="str">
        <f>IFERROR(__xludf.DUMMYFUNCTION("LEFT(A25, 4) &amp; TEXT(VALUE(REGEXEXTRACT(A25, ""\d+"")) + 1, ""0000"")"),"MAN-0024")</f>
        <v>MAN-0024</v>
      </c>
      <c r="B26" s="3" t="s">
        <v>18</v>
      </c>
      <c r="C26" s="3" t="s">
        <v>62</v>
      </c>
      <c r="D26" s="2" t="str">
        <f t="shared" si="1"/>
        <v>SUSPENDER FEITIÇO | M</v>
      </c>
      <c r="E26" s="3" t="s">
        <v>48</v>
      </c>
      <c r="F26" s="3" t="s">
        <v>30</v>
      </c>
      <c r="G26" s="3" t="s">
        <v>63</v>
      </c>
      <c r="H26" s="3" t="s">
        <v>33</v>
      </c>
      <c r="I26" s="3">
        <v>4.0</v>
      </c>
      <c r="J26" s="3" t="s">
        <v>23</v>
      </c>
      <c r="K26" s="3" t="s">
        <v>64</v>
      </c>
      <c r="L26" s="6" t="s">
        <v>39</v>
      </c>
      <c r="M26" s="3" t="s">
        <v>66</v>
      </c>
      <c r="N26" s="3" t="s">
        <v>43</v>
      </c>
      <c r="O26" s="3" t="s">
        <v>23</v>
      </c>
      <c r="P26" s="3" t="s">
        <v>67</v>
      </c>
      <c r="Q26" s="3" t="s">
        <v>74</v>
      </c>
      <c r="R26" s="2"/>
      <c r="S26" s="2"/>
      <c r="T26" s="2"/>
      <c r="U26" s="2"/>
      <c r="V26" s="2"/>
      <c r="W26" s="2"/>
      <c r="X26" s="2"/>
      <c r="Y26" s="2"/>
    </row>
    <row r="27">
      <c r="A27" s="5" t="str">
        <f>IFERROR(__xludf.DUMMYFUNCTION("LEFT(A26, 4) &amp; TEXT(VALUE(REGEXEXTRACT(A26, ""\d+"")) + 1, ""0000"")"),"MAN-0025")</f>
        <v>MAN-0025</v>
      </c>
      <c r="B27" s="3" t="s">
        <v>18</v>
      </c>
      <c r="C27" s="3" t="s">
        <v>75</v>
      </c>
      <c r="D27" s="2" t="str">
        <f t="shared" si="1"/>
        <v>ROUBAR FEITIÇO | D</v>
      </c>
      <c r="E27" s="3" t="s">
        <v>76</v>
      </c>
      <c r="F27" s="3" t="s">
        <v>21</v>
      </c>
      <c r="G27" s="3" t="s">
        <v>77</v>
      </c>
      <c r="H27" s="3" t="s">
        <v>78</v>
      </c>
      <c r="I27" s="3">
        <v>8.0</v>
      </c>
      <c r="J27" s="3" t="s">
        <v>23</v>
      </c>
      <c r="K27" s="3" t="s">
        <v>64</v>
      </c>
      <c r="L27" s="6" t="s">
        <v>65</v>
      </c>
      <c r="M27" s="3" t="s">
        <v>66</v>
      </c>
      <c r="N27" s="3" t="s">
        <v>36</v>
      </c>
      <c r="O27" s="3" t="s">
        <v>23</v>
      </c>
      <c r="P27" s="3" t="s">
        <v>79</v>
      </c>
      <c r="Q27" s="3" t="s">
        <v>80</v>
      </c>
      <c r="R27" s="2"/>
      <c r="S27" s="2"/>
      <c r="T27" s="2"/>
      <c r="U27" s="2"/>
      <c r="V27" s="2"/>
      <c r="W27" s="2"/>
      <c r="X27" s="2"/>
      <c r="Y27" s="2"/>
    </row>
    <row r="28">
      <c r="A28" s="5" t="str">
        <f>IFERROR(__xludf.DUMMYFUNCTION("LEFT(A27, 4) &amp; TEXT(VALUE(REGEXEXTRACT(A27, ""\d+"")) + 1, ""0000"")"),"MAN-0026")</f>
        <v>MAN-0026</v>
      </c>
      <c r="B28" s="3" t="s">
        <v>18</v>
      </c>
      <c r="C28" s="3" t="s">
        <v>75</v>
      </c>
      <c r="D28" s="2" t="str">
        <f t="shared" si="1"/>
        <v>ROUBAR FEITIÇO | D</v>
      </c>
      <c r="E28" s="3" t="s">
        <v>76</v>
      </c>
      <c r="F28" s="3" t="s">
        <v>27</v>
      </c>
      <c r="G28" s="3" t="s">
        <v>77</v>
      </c>
      <c r="H28" s="3" t="s">
        <v>78</v>
      </c>
      <c r="I28" s="3">
        <v>8.0</v>
      </c>
      <c r="J28" s="3" t="s">
        <v>23</v>
      </c>
      <c r="K28" s="3" t="s">
        <v>64</v>
      </c>
      <c r="L28" s="6" t="s">
        <v>35</v>
      </c>
      <c r="M28" s="3" t="s">
        <v>66</v>
      </c>
      <c r="N28" s="3" t="s">
        <v>36</v>
      </c>
      <c r="O28" s="3" t="s">
        <v>23</v>
      </c>
      <c r="P28" s="3" t="s">
        <v>79</v>
      </c>
      <c r="Q28" s="3" t="s">
        <v>81</v>
      </c>
      <c r="R28" s="2"/>
      <c r="S28" s="2"/>
      <c r="T28" s="2"/>
      <c r="U28" s="2"/>
      <c r="V28" s="2"/>
      <c r="W28" s="2"/>
      <c r="X28" s="2"/>
      <c r="Y28" s="2"/>
    </row>
    <row r="29">
      <c r="A29" s="5" t="str">
        <f>IFERROR(__xludf.DUMMYFUNCTION("LEFT(A28, 4) &amp; TEXT(VALUE(REGEXEXTRACT(A28, ""\d+"")) + 1, ""0000"")"),"MAN-0027")</f>
        <v>MAN-0027</v>
      </c>
      <c r="B29" s="3" t="s">
        <v>18</v>
      </c>
      <c r="C29" s="3" t="s">
        <v>75</v>
      </c>
      <c r="D29" s="2" t="str">
        <f t="shared" si="1"/>
        <v>ROUBAR FEITIÇO | D</v>
      </c>
      <c r="E29" s="3" t="s">
        <v>76</v>
      </c>
      <c r="F29" s="3" t="s">
        <v>28</v>
      </c>
      <c r="G29" s="3" t="s">
        <v>77</v>
      </c>
      <c r="H29" s="3" t="s">
        <v>78</v>
      </c>
      <c r="I29" s="3">
        <v>8.0</v>
      </c>
      <c r="J29" s="3" t="s">
        <v>23</v>
      </c>
      <c r="K29" s="3" t="s">
        <v>64</v>
      </c>
      <c r="L29" s="6" t="s">
        <v>70</v>
      </c>
      <c r="M29" s="3" t="s">
        <v>66</v>
      </c>
      <c r="N29" s="3" t="s">
        <v>40</v>
      </c>
      <c r="O29" s="3" t="s">
        <v>23</v>
      </c>
      <c r="P29" s="3" t="s">
        <v>79</v>
      </c>
      <c r="Q29" s="3" t="s">
        <v>82</v>
      </c>
      <c r="R29" s="2"/>
      <c r="S29" s="2"/>
      <c r="T29" s="2"/>
      <c r="U29" s="2"/>
      <c r="V29" s="2"/>
      <c r="W29" s="2"/>
      <c r="X29" s="2"/>
      <c r="Y29" s="2"/>
    </row>
    <row r="30">
      <c r="A30" s="5" t="str">
        <f>IFERROR(__xludf.DUMMYFUNCTION("LEFT(A29, 4) &amp; TEXT(VALUE(REGEXEXTRACT(A29, ""\d+"")) + 1, ""0000"")"),"MAN-0028")</f>
        <v>MAN-0028</v>
      </c>
      <c r="B30" s="3" t="s">
        <v>18</v>
      </c>
      <c r="C30" s="3" t="s">
        <v>75</v>
      </c>
      <c r="D30" s="2" t="str">
        <f t="shared" si="1"/>
        <v>ROUBAR FEITIÇO | D</v>
      </c>
      <c r="E30" s="3" t="s">
        <v>76</v>
      </c>
      <c r="F30" s="3" t="s">
        <v>29</v>
      </c>
      <c r="G30" s="3" t="s">
        <v>77</v>
      </c>
      <c r="H30" s="3" t="s">
        <v>78</v>
      </c>
      <c r="I30" s="3">
        <v>8.0</v>
      </c>
      <c r="J30" s="3" t="s">
        <v>23</v>
      </c>
      <c r="K30" s="3" t="s">
        <v>64</v>
      </c>
      <c r="L30" s="6" t="s">
        <v>72</v>
      </c>
      <c r="M30" s="3" t="s">
        <v>66</v>
      </c>
      <c r="N30" s="3" t="s">
        <v>40</v>
      </c>
      <c r="O30" s="3" t="s">
        <v>23</v>
      </c>
      <c r="P30" s="3" t="s">
        <v>79</v>
      </c>
      <c r="Q30" s="3" t="s">
        <v>83</v>
      </c>
      <c r="R30" s="2"/>
      <c r="S30" s="2"/>
      <c r="T30" s="2"/>
      <c r="U30" s="2"/>
      <c r="V30" s="2"/>
      <c r="W30" s="2"/>
      <c r="X30" s="2"/>
      <c r="Y30" s="2"/>
    </row>
    <row r="31">
      <c r="A31" s="5" t="str">
        <f>IFERROR(__xludf.DUMMYFUNCTION("LEFT(A30, 4) &amp; TEXT(VALUE(REGEXEXTRACT(A30, ""\d+"")) + 1, ""0000"")"),"MAN-0029")</f>
        <v>MAN-0029</v>
      </c>
      <c r="B31" s="3" t="s">
        <v>18</v>
      </c>
      <c r="C31" s="3" t="s">
        <v>75</v>
      </c>
      <c r="D31" s="2" t="str">
        <f t="shared" si="1"/>
        <v>ROUBAR FEITIÇO | D</v>
      </c>
      <c r="E31" s="3" t="s">
        <v>76</v>
      </c>
      <c r="F31" s="3" t="s">
        <v>30</v>
      </c>
      <c r="G31" s="3" t="s">
        <v>77</v>
      </c>
      <c r="H31" s="3" t="s">
        <v>78</v>
      </c>
      <c r="I31" s="3">
        <v>8.0</v>
      </c>
      <c r="J31" s="3" t="s">
        <v>23</v>
      </c>
      <c r="K31" s="3" t="s">
        <v>64</v>
      </c>
      <c r="L31" s="6" t="s">
        <v>39</v>
      </c>
      <c r="M31" s="3" t="s">
        <v>66</v>
      </c>
      <c r="N31" s="3" t="s">
        <v>43</v>
      </c>
      <c r="O31" s="3" t="s">
        <v>23</v>
      </c>
      <c r="P31" s="3" t="s">
        <v>79</v>
      </c>
      <c r="Q31" s="3" t="s">
        <v>84</v>
      </c>
      <c r="R31" s="2"/>
      <c r="S31" s="2"/>
      <c r="T31" s="2"/>
      <c r="U31" s="2"/>
      <c r="V31" s="2"/>
      <c r="W31" s="2"/>
      <c r="X31" s="2"/>
      <c r="Y31" s="2"/>
    </row>
    <row r="32">
      <c r="A32" s="5" t="str">
        <f>IFERROR(__xludf.DUMMYFUNCTION("LEFT(A31, 4) &amp; TEXT(VALUE(REGEXEXTRACT(A31, ""\d+"")) + 1, ""0000"")"),"MAN-0030")</f>
        <v>MAN-0030</v>
      </c>
      <c r="B32" s="3" t="s">
        <v>18</v>
      </c>
      <c r="C32" s="3" t="s">
        <v>85</v>
      </c>
      <c r="D32" s="2" t="str">
        <f t="shared" si="1"/>
        <v>PROTEGER FEITIÇO | F</v>
      </c>
      <c r="E32" s="3" t="s">
        <v>20</v>
      </c>
      <c r="F32" s="3" t="s">
        <v>21</v>
      </c>
      <c r="G32" s="3" t="s">
        <v>86</v>
      </c>
      <c r="H32" s="3" t="s">
        <v>33</v>
      </c>
      <c r="I32" s="3">
        <v>2.0</v>
      </c>
      <c r="J32" s="3" t="s">
        <v>23</v>
      </c>
      <c r="K32" s="3" t="s">
        <v>64</v>
      </c>
      <c r="L32" s="6" t="s">
        <v>65</v>
      </c>
      <c r="M32" s="3" t="s">
        <v>66</v>
      </c>
      <c r="N32" s="3" t="s">
        <v>36</v>
      </c>
      <c r="O32" s="3" t="s">
        <v>23</v>
      </c>
      <c r="P32" s="3" t="s">
        <v>87</v>
      </c>
      <c r="Q32" s="3" t="s">
        <v>88</v>
      </c>
      <c r="R32" s="2"/>
      <c r="S32" s="2"/>
      <c r="T32" s="2"/>
      <c r="U32" s="2"/>
      <c r="V32" s="2"/>
      <c r="W32" s="2"/>
      <c r="X32" s="2"/>
      <c r="Y32" s="2"/>
    </row>
    <row r="33">
      <c r="A33" s="5" t="str">
        <f>IFERROR(__xludf.DUMMYFUNCTION("LEFT(A32, 4) &amp; TEXT(VALUE(REGEXEXTRACT(A32, ""\d+"")) + 1, ""0000"")"),"MAN-0031")</f>
        <v>MAN-0031</v>
      </c>
      <c r="B33" s="3" t="s">
        <v>18</v>
      </c>
      <c r="C33" s="3" t="s">
        <v>85</v>
      </c>
      <c r="D33" s="2" t="str">
        <f t="shared" si="1"/>
        <v>PROTEGER FEITIÇO | F</v>
      </c>
      <c r="E33" s="3" t="s">
        <v>20</v>
      </c>
      <c r="F33" s="3" t="s">
        <v>27</v>
      </c>
      <c r="G33" s="3" t="s">
        <v>86</v>
      </c>
      <c r="H33" s="3" t="s">
        <v>33</v>
      </c>
      <c r="I33" s="3">
        <v>2.0</v>
      </c>
      <c r="J33" s="3" t="s">
        <v>23</v>
      </c>
      <c r="K33" s="3" t="s">
        <v>64</v>
      </c>
      <c r="L33" s="6" t="s">
        <v>35</v>
      </c>
      <c r="M33" s="3" t="s">
        <v>66</v>
      </c>
      <c r="N33" s="3" t="s">
        <v>36</v>
      </c>
      <c r="O33" s="3" t="s">
        <v>23</v>
      </c>
      <c r="P33" s="3" t="s">
        <v>87</v>
      </c>
      <c r="Q33" s="3" t="s">
        <v>89</v>
      </c>
      <c r="R33" s="2"/>
      <c r="S33" s="2"/>
      <c r="T33" s="2"/>
      <c r="U33" s="2"/>
      <c r="V33" s="2"/>
      <c r="W33" s="2"/>
      <c r="X33" s="2"/>
      <c r="Y33" s="2"/>
    </row>
    <row r="34">
      <c r="A34" s="5" t="str">
        <f>IFERROR(__xludf.DUMMYFUNCTION("LEFT(A33, 4) &amp; TEXT(VALUE(REGEXEXTRACT(A33, ""\d+"")) + 1, ""0000"")"),"MAN-0032")</f>
        <v>MAN-0032</v>
      </c>
      <c r="B34" s="3" t="s">
        <v>18</v>
      </c>
      <c r="C34" s="3" t="s">
        <v>85</v>
      </c>
      <c r="D34" s="2" t="str">
        <f t="shared" si="1"/>
        <v>PROTEGER FEITIÇO | F</v>
      </c>
      <c r="E34" s="3" t="s">
        <v>20</v>
      </c>
      <c r="F34" s="3" t="s">
        <v>28</v>
      </c>
      <c r="G34" s="3" t="s">
        <v>86</v>
      </c>
      <c r="H34" s="3" t="s">
        <v>33</v>
      </c>
      <c r="I34" s="3">
        <v>2.0</v>
      </c>
      <c r="J34" s="3" t="s">
        <v>23</v>
      </c>
      <c r="K34" s="3" t="s">
        <v>64</v>
      </c>
      <c r="L34" s="6" t="s">
        <v>70</v>
      </c>
      <c r="M34" s="3" t="s">
        <v>66</v>
      </c>
      <c r="N34" s="3" t="s">
        <v>40</v>
      </c>
      <c r="O34" s="3" t="s">
        <v>23</v>
      </c>
      <c r="P34" s="3" t="s">
        <v>87</v>
      </c>
      <c r="Q34" s="3" t="s">
        <v>90</v>
      </c>
      <c r="R34" s="2"/>
      <c r="S34" s="2"/>
      <c r="T34" s="2"/>
      <c r="U34" s="2"/>
      <c r="V34" s="2"/>
      <c r="W34" s="2"/>
      <c r="X34" s="2"/>
      <c r="Y34" s="2"/>
    </row>
    <row r="35">
      <c r="A35" s="5" t="str">
        <f>IFERROR(__xludf.DUMMYFUNCTION("LEFT(A34, 4) &amp; TEXT(VALUE(REGEXEXTRACT(A34, ""\d+"")) + 1, ""0000"")"),"MAN-0033")</f>
        <v>MAN-0033</v>
      </c>
      <c r="B35" s="3" t="s">
        <v>18</v>
      </c>
      <c r="C35" s="3" t="s">
        <v>85</v>
      </c>
      <c r="D35" s="2" t="str">
        <f t="shared" si="1"/>
        <v>PROTEGER FEITIÇO | F</v>
      </c>
      <c r="E35" s="3" t="s">
        <v>20</v>
      </c>
      <c r="F35" s="3" t="s">
        <v>29</v>
      </c>
      <c r="G35" s="3" t="s">
        <v>86</v>
      </c>
      <c r="H35" s="3" t="s">
        <v>33</v>
      </c>
      <c r="I35" s="3">
        <v>2.0</v>
      </c>
      <c r="J35" s="3" t="s">
        <v>23</v>
      </c>
      <c r="K35" s="3" t="s">
        <v>64</v>
      </c>
      <c r="L35" s="6" t="s">
        <v>72</v>
      </c>
      <c r="M35" s="3" t="s">
        <v>66</v>
      </c>
      <c r="N35" s="3" t="s">
        <v>40</v>
      </c>
      <c r="O35" s="3" t="s">
        <v>23</v>
      </c>
      <c r="P35" s="3" t="s">
        <v>87</v>
      </c>
      <c r="Q35" s="3" t="s">
        <v>91</v>
      </c>
      <c r="R35" s="2"/>
      <c r="S35" s="2"/>
      <c r="T35" s="2"/>
      <c r="U35" s="2"/>
      <c r="V35" s="2"/>
      <c r="W35" s="2"/>
      <c r="X35" s="2"/>
      <c r="Y35" s="2"/>
    </row>
    <row r="36">
      <c r="A36" s="5" t="str">
        <f>IFERROR(__xludf.DUMMYFUNCTION("LEFT(A35, 4) &amp; TEXT(VALUE(REGEXEXTRACT(A35, ""\d+"")) + 1, ""0000"")"),"MAN-0034")</f>
        <v>MAN-0034</v>
      </c>
      <c r="B36" s="3" t="s">
        <v>18</v>
      </c>
      <c r="C36" s="3" t="s">
        <v>85</v>
      </c>
      <c r="D36" s="2" t="str">
        <f t="shared" si="1"/>
        <v>PROTEGER FEITIÇO | F</v>
      </c>
      <c r="E36" s="3" t="s">
        <v>20</v>
      </c>
      <c r="F36" s="3" t="s">
        <v>30</v>
      </c>
      <c r="G36" s="3" t="s">
        <v>86</v>
      </c>
      <c r="H36" s="3" t="s">
        <v>33</v>
      </c>
      <c r="I36" s="3">
        <v>2.0</v>
      </c>
      <c r="J36" s="3" t="s">
        <v>23</v>
      </c>
      <c r="K36" s="3" t="s">
        <v>64</v>
      </c>
      <c r="L36" s="6" t="s">
        <v>39</v>
      </c>
      <c r="M36" s="3" t="s">
        <v>66</v>
      </c>
      <c r="N36" s="3" t="s">
        <v>43</v>
      </c>
      <c r="O36" s="3" t="s">
        <v>23</v>
      </c>
      <c r="P36" s="3" t="s">
        <v>87</v>
      </c>
      <c r="Q36" s="3" t="s">
        <v>92</v>
      </c>
      <c r="R36" s="2"/>
      <c r="S36" s="2"/>
      <c r="T36" s="2"/>
      <c r="U36" s="2"/>
      <c r="V36" s="2"/>
      <c r="W36" s="2"/>
      <c r="X36" s="2"/>
      <c r="Y36" s="2"/>
    </row>
    <row r="37">
      <c r="A37" s="5" t="str">
        <f>IFERROR(__xludf.DUMMYFUNCTION("LEFT(A36, 4) &amp; TEXT(VALUE(REGEXEXTRACT(A36, ""\d+"")) + 1, ""0000"")"),"MAN-0035")</f>
        <v>MAN-0035</v>
      </c>
      <c r="B37" s="3" t="s">
        <v>18</v>
      </c>
      <c r="C37" s="3" t="s">
        <v>93</v>
      </c>
      <c r="D37" s="2" t="str">
        <f t="shared" si="1"/>
        <v>ROUBAR MANA | MD</v>
      </c>
      <c r="E37" s="3" t="s">
        <v>94</v>
      </c>
      <c r="F37" s="3" t="s">
        <v>21</v>
      </c>
      <c r="G37" s="3" t="s">
        <v>77</v>
      </c>
      <c r="H37" s="3" t="s">
        <v>33</v>
      </c>
      <c r="I37" s="3">
        <v>2.0</v>
      </c>
      <c r="J37" s="3" t="s">
        <v>50</v>
      </c>
      <c r="K37" s="3" t="s">
        <v>95</v>
      </c>
      <c r="L37" s="6" t="s">
        <v>65</v>
      </c>
      <c r="M37" s="3" t="s">
        <v>66</v>
      </c>
      <c r="N37" s="3" t="s">
        <v>96</v>
      </c>
      <c r="O37" s="3" t="s">
        <v>23</v>
      </c>
      <c r="P37" s="3" t="s">
        <v>97</v>
      </c>
      <c r="Q37" s="3" t="s">
        <v>98</v>
      </c>
      <c r="R37" s="2"/>
      <c r="S37" s="2"/>
      <c r="T37" s="2"/>
      <c r="U37" s="2"/>
      <c r="V37" s="2"/>
      <c r="W37" s="2"/>
      <c r="X37" s="2"/>
      <c r="Y37" s="2"/>
    </row>
    <row r="38">
      <c r="A38" s="5" t="str">
        <f>IFERROR(__xludf.DUMMYFUNCTION("LEFT(A37, 4) &amp; TEXT(VALUE(REGEXEXTRACT(A37, ""\d+"")) + 1, ""0000"")"),"MAN-0036")</f>
        <v>MAN-0036</v>
      </c>
      <c r="B38" s="3" t="s">
        <v>18</v>
      </c>
      <c r="C38" s="3" t="s">
        <v>93</v>
      </c>
      <c r="D38" s="2" t="str">
        <f t="shared" si="1"/>
        <v>ROUBAR MANA | MD</v>
      </c>
      <c r="E38" s="3" t="s">
        <v>94</v>
      </c>
      <c r="F38" s="3" t="s">
        <v>27</v>
      </c>
      <c r="G38" s="3" t="s">
        <v>77</v>
      </c>
      <c r="H38" s="3" t="s">
        <v>33</v>
      </c>
      <c r="I38" s="3">
        <v>2.0</v>
      </c>
      <c r="J38" s="3" t="s">
        <v>50</v>
      </c>
      <c r="K38" s="3" t="s">
        <v>95</v>
      </c>
      <c r="L38" s="6" t="s">
        <v>35</v>
      </c>
      <c r="M38" s="3" t="s">
        <v>66</v>
      </c>
      <c r="N38" s="3" t="s">
        <v>96</v>
      </c>
      <c r="O38" s="3" t="s">
        <v>23</v>
      </c>
      <c r="P38" s="3" t="s">
        <v>99</v>
      </c>
      <c r="Q38" s="3" t="s">
        <v>100</v>
      </c>
      <c r="R38" s="2"/>
      <c r="S38" s="2"/>
      <c r="T38" s="2"/>
      <c r="U38" s="2"/>
      <c r="V38" s="2"/>
      <c r="W38" s="2"/>
      <c r="X38" s="2"/>
      <c r="Y38" s="2"/>
    </row>
    <row r="39">
      <c r="A39" s="5" t="str">
        <f>IFERROR(__xludf.DUMMYFUNCTION("LEFT(A38, 4) &amp; TEXT(VALUE(REGEXEXTRACT(A38, ""\d+"")) + 1, ""0000"")"),"MAN-0037")</f>
        <v>MAN-0037</v>
      </c>
      <c r="B39" s="3" t="s">
        <v>18</v>
      </c>
      <c r="C39" s="3" t="s">
        <v>93</v>
      </c>
      <c r="D39" s="2" t="str">
        <f t="shared" si="1"/>
        <v>ROUBAR MANA | MD</v>
      </c>
      <c r="E39" s="3" t="s">
        <v>94</v>
      </c>
      <c r="F39" s="3" t="s">
        <v>28</v>
      </c>
      <c r="G39" s="3" t="s">
        <v>77</v>
      </c>
      <c r="H39" s="3" t="s">
        <v>33</v>
      </c>
      <c r="I39" s="3">
        <v>2.0</v>
      </c>
      <c r="J39" s="3" t="s">
        <v>50</v>
      </c>
      <c r="K39" s="3" t="s">
        <v>95</v>
      </c>
      <c r="L39" s="6" t="s">
        <v>70</v>
      </c>
      <c r="M39" s="3" t="s">
        <v>66</v>
      </c>
      <c r="N39" s="3" t="s">
        <v>101</v>
      </c>
      <c r="O39" s="3" t="s">
        <v>23</v>
      </c>
      <c r="P39" s="3" t="s">
        <v>102</v>
      </c>
      <c r="Q39" s="3" t="s">
        <v>103</v>
      </c>
      <c r="R39" s="2"/>
      <c r="S39" s="2"/>
      <c r="T39" s="2"/>
      <c r="U39" s="2"/>
      <c r="V39" s="2"/>
      <c r="W39" s="2"/>
      <c r="X39" s="2"/>
      <c r="Y39" s="2"/>
    </row>
    <row r="40">
      <c r="A40" s="5" t="str">
        <f>IFERROR(__xludf.DUMMYFUNCTION("LEFT(A39, 4) &amp; TEXT(VALUE(REGEXEXTRACT(A39, ""\d+"")) + 1, ""0000"")"),"MAN-0038")</f>
        <v>MAN-0038</v>
      </c>
      <c r="B40" s="3" t="s">
        <v>18</v>
      </c>
      <c r="C40" s="3" t="s">
        <v>93</v>
      </c>
      <c r="D40" s="2" t="str">
        <f t="shared" si="1"/>
        <v>ROUBAR MANA | MD</v>
      </c>
      <c r="E40" s="3" t="s">
        <v>94</v>
      </c>
      <c r="F40" s="3" t="s">
        <v>29</v>
      </c>
      <c r="G40" s="3" t="s">
        <v>77</v>
      </c>
      <c r="H40" s="3" t="s">
        <v>33</v>
      </c>
      <c r="I40" s="3">
        <v>2.0</v>
      </c>
      <c r="J40" s="3" t="s">
        <v>50</v>
      </c>
      <c r="K40" s="3" t="s">
        <v>95</v>
      </c>
      <c r="L40" s="6" t="s">
        <v>72</v>
      </c>
      <c r="M40" s="3" t="s">
        <v>66</v>
      </c>
      <c r="N40" s="3" t="s">
        <v>101</v>
      </c>
      <c r="O40" s="3" t="s">
        <v>23</v>
      </c>
      <c r="P40" s="3" t="s">
        <v>104</v>
      </c>
      <c r="Q40" s="3" t="s">
        <v>105</v>
      </c>
      <c r="R40" s="2"/>
      <c r="S40" s="2"/>
      <c r="T40" s="2"/>
      <c r="U40" s="2"/>
      <c r="V40" s="2"/>
      <c r="W40" s="2"/>
      <c r="X40" s="2"/>
      <c r="Y40" s="2"/>
    </row>
    <row r="41">
      <c r="A41" s="5" t="str">
        <f>IFERROR(__xludf.DUMMYFUNCTION("LEFT(A40, 4) &amp; TEXT(VALUE(REGEXEXTRACT(A40, ""\d+"")) + 1, ""0000"")"),"MAN-0039")</f>
        <v>MAN-0039</v>
      </c>
      <c r="B41" s="3" t="s">
        <v>18</v>
      </c>
      <c r="C41" s="3" t="s">
        <v>93</v>
      </c>
      <c r="D41" s="2" t="str">
        <f t="shared" si="1"/>
        <v>ROUBAR MANA | MD</v>
      </c>
      <c r="E41" s="3" t="s">
        <v>94</v>
      </c>
      <c r="F41" s="3" t="s">
        <v>30</v>
      </c>
      <c r="G41" s="3" t="s">
        <v>77</v>
      </c>
      <c r="H41" s="3" t="s">
        <v>33</v>
      </c>
      <c r="I41" s="3">
        <v>2.0</v>
      </c>
      <c r="J41" s="3" t="s">
        <v>23</v>
      </c>
      <c r="K41" s="3" t="s">
        <v>95</v>
      </c>
      <c r="L41" s="6" t="s">
        <v>39</v>
      </c>
      <c r="M41" s="3" t="s">
        <v>66</v>
      </c>
      <c r="N41" s="3" t="s">
        <v>106</v>
      </c>
      <c r="O41" s="3" t="s">
        <v>23</v>
      </c>
      <c r="P41" s="3" t="s">
        <v>107</v>
      </c>
      <c r="Q41" s="3" t="s">
        <v>108</v>
      </c>
      <c r="R41" s="2"/>
      <c r="S41" s="2"/>
      <c r="T41" s="2"/>
      <c r="U41" s="2"/>
      <c r="V41" s="2"/>
      <c r="W41" s="2"/>
      <c r="X41" s="2"/>
      <c r="Y41" s="2"/>
    </row>
    <row r="42">
      <c r="A42" s="5" t="str">
        <f>IFERROR(__xludf.DUMMYFUNCTION("LEFT(A41, 4) &amp; TEXT(VALUE(REGEXEXTRACT(A41, ""\d+"")) + 1, ""0000"")"),"MAN-0040")</f>
        <v>MAN-0040</v>
      </c>
      <c r="B42" s="3" t="s">
        <v>18</v>
      </c>
      <c r="C42" s="3" t="s">
        <v>109</v>
      </c>
      <c r="D42" s="2" t="str">
        <f t="shared" si="1"/>
        <v>PROTEGER MANA | M</v>
      </c>
      <c r="E42" s="3" t="s">
        <v>48</v>
      </c>
      <c r="F42" s="3" t="s">
        <v>21</v>
      </c>
      <c r="G42" s="3" t="s">
        <v>86</v>
      </c>
      <c r="H42" s="3" t="s">
        <v>33</v>
      </c>
      <c r="I42" s="3">
        <v>4.0</v>
      </c>
      <c r="J42" s="3" t="s">
        <v>23</v>
      </c>
      <c r="K42" s="3" t="s">
        <v>95</v>
      </c>
      <c r="L42" s="6" t="s">
        <v>65</v>
      </c>
      <c r="M42" s="3" t="s">
        <v>66</v>
      </c>
      <c r="N42" s="3" t="s">
        <v>36</v>
      </c>
      <c r="O42" s="3" t="s">
        <v>23</v>
      </c>
      <c r="P42" s="3" t="s">
        <v>110</v>
      </c>
      <c r="Q42" s="3" t="s">
        <v>111</v>
      </c>
      <c r="R42" s="2"/>
      <c r="S42" s="2"/>
      <c r="T42" s="2"/>
      <c r="U42" s="2"/>
      <c r="V42" s="2"/>
      <c r="W42" s="2"/>
      <c r="X42" s="2"/>
      <c r="Y42" s="2"/>
    </row>
    <row r="43">
      <c r="A43" s="5" t="str">
        <f>IFERROR(__xludf.DUMMYFUNCTION("LEFT(A42, 4) &amp; TEXT(VALUE(REGEXEXTRACT(A42, ""\d+"")) + 1, ""0000"")"),"MAN-0041")</f>
        <v>MAN-0041</v>
      </c>
      <c r="B43" s="3" t="s">
        <v>18</v>
      </c>
      <c r="C43" s="3" t="s">
        <v>109</v>
      </c>
      <c r="D43" s="2" t="str">
        <f t="shared" si="1"/>
        <v>PROTEGER MANA | M</v>
      </c>
      <c r="E43" s="3" t="s">
        <v>48</v>
      </c>
      <c r="F43" s="3" t="s">
        <v>27</v>
      </c>
      <c r="G43" s="3" t="s">
        <v>86</v>
      </c>
      <c r="H43" s="3" t="s">
        <v>33</v>
      </c>
      <c r="I43" s="3">
        <v>4.0</v>
      </c>
      <c r="J43" s="3" t="s">
        <v>23</v>
      </c>
      <c r="K43" s="3" t="s">
        <v>95</v>
      </c>
      <c r="L43" s="6" t="s">
        <v>35</v>
      </c>
      <c r="M43" s="3" t="s">
        <v>66</v>
      </c>
      <c r="N43" s="3" t="s">
        <v>36</v>
      </c>
      <c r="O43" s="3" t="s">
        <v>23</v>
      </c>
      <c r="P43" s="3" t="s">
        <v>110</v>
      </c>
      <c r="Q43" s="3" t="s">
        <v>112</v>
      </c>
      <c r="R43" s="2"/>
      <c r="S43" s="2"/>
      <c r="T43" s="2"/>
      <c r="U43" s="2"/>
      <c r="V43" s="2"/>
      <c r="W43" s="2"/>
      <c r="X43" s="2"/>
      <c r="Y43" s="2"/>
    </row>
    <row r="44">
      <c r="A44" s="5" t="str">
        <f>IFERROR(__xludf.DUMMYFUNCTION("LEFT(A43, 4) &amp; TEXT(VALUE(REGEXEXTRACT(A43, ""\d+"")) + 1, ""0000"")"),"MAN-0042")</f>
        <v>MAN-0042</v>
      </c>
      <c r="B44" s="3" t="s">
        <v>18</v>
      </c>
      <c r="C44" s="3" t="s">
        <v>109</v>
      </c>
      <c r="D44" s="2" t="str">
        <f t="shared" si="1"/>
        <v>PROTEGER MANA | M</v>
      </c>
      <c r="E44" s="3" t="s">
        <v>48</v>
      </c>
      <c r="F44" s="3" t="s">
        <v>28</v>
      </c>
      <c r="G44" s="3" t="s">
        <v>86</v>
      </c>
      <c r="H44" s="3" t="s">
        <v>33</v>
      </c>
      <c r="I44" s="3">
        <v>4.0</v>
      </c>
      <c r="J44" s="3" t="s">
        <v>23</v>
      </c>
      <c r="K44" s="3" t="s">
        <v>95</v>
      </c>
      <c r="L44" s="6" t="s">
        <v>70</v>
      </c>
      <c r="M44" s="3" t="s">
        <v>66</v>
      </c>
      <c r="N44" s="3" t="s">
        <v>40</v>
      </c>
      <c r="O44" s="3" t="s">
        <v>23</v>
      </c>
      <c r="P44" s="3" t="s">
        <v>110</v>
      </c>
      <c r="Q44" s="3" t="s">
        <v>113</v>
      </c>
      <c r="R44" s="2"/>
      <c r="S44" s="2"/>
      <c r="T44" s="2"/>
      <c r="U44" s="2"/>
      <c r="V44" s="2"/>
      <c r="W44" s="2"/>
      <c r="X44" s="2"/>
      <c r="Y44" s="2"/>
    </row>
    <row r="45">
      <c r="A45" s="5" t="str">
        <f>IFERROR(__xludf.DUMMYFUNCTION("LEFT(A44, 4) &amp; TEXT(VALUE(REGEXEXTRACT(A44, ""\d+"")) + 1, ""0000"")"),"MAN-0043")</f>
        <v>MAN-0043</v>
      </c>
      <c r="B45" s="3" t="s">
        <v>18</v>
      </c>
      <c r="C45" s="3" t="s">
        <v>109</v>
      </c>
      <c r="D45" s="2" t="str">
        <f t="shared" si="1"/>
        <v>PROTEGER MANA | M</v>
      </c>
      <c r="E45" s="3" t="s">
        <v>48</v>
      </c>
      <c r="F45" s="3" t="s">
        <v>29</v>
      </c>
      <c r="G45" s="3" t="s">
        <v>86</v>
      </c>
      <c r="H45" s="3" t="s">
        <v>33</v>
      </c>
      <c r="I45" s="3">
        <v>4.0</v>
      </c>
      <c r="J45" s="3" t="s">
        <v>23</v>
      </c>
      <c r="K45" s="3" t="s">
        <v>95</v>
      </c>
      <c r="L45" s="6" t="s">
        <v>72</v>
      </c>
      <c r="M45" s="3" t="s">
        <v>66</v>
      </c>
      <c r="N45" s="3" t="s">
        <v>40</v>
      </c>
      <c r="O45" s="3" t="s">
        <v>23</v>
      </c>
      <c r="P45" s="3" t="s">
        <v>110</v>
      </c>
      <c r="Q45" s="3" t="s">
        <v>114</v>
      </c>
      <c r="R45" s="2"/>
      <c r="S45" s="2"/>
      <c r="T45" s="2"/>
      <c r="U45" s="2"/>
      <c r="V45" s="2"/>
      <c r="W45" s="2"/>
      <c r="X45" s="2"/>
      <c r="Y45" s="2"/>
    </row>
    <row r="46">
      <c r="A46" s="5" t="str">
        <f>IFERROR(__xludf.DUMMYFUNCTION("LEFT(A45, 4) &amp; TEXT(VALUE(REGEXEXTRACT(A45, ""\d+"")) + 1, ""0000"")"),"MAN-0044")</f>
        <v>MAN-0044</v>
      </c>
      <c r="B46" s="3" t="s">
        <v>18</v>
      </c>
      <c r="C46" s="3" t="s">
        <v>109</v>
      </c>
      <c r="D46" s="2" t="str">
        <f t="shared" si="1"/>
        <v>PROTEGER MANA | M</v>
      </c>
      <c r="E46" s="3" t="s">
        <v>48</v>
      </c>
      <c r="F46" s="3" t="s">
        <v>30</v>
      </c>
      <c r="G46" s="3" t="s">
        <v>86</v>
      </c>
      <c r="H46" s="3" t="s">
        <v>33</v>
      </c>
      <c r="I46" s="3">
        <v>4.0</v>
      </c>
      <c r="J46" s="3" t="s">
        <v>23</v>
      </c>
      <c r="K46" s="3" t="s">
        <v>95</v>
      </c>
      <c r="L46" s="6" t="s">
        <v>39</v>
      </c>
      <c r="M46" s="3" t="s">
        <v>66</v>
      </c>
      <c r="N46" s="3" t="s">
        <v>43</v>
      </c>
      <c r="O46" s="3" t="s">
        <v>23</v>
      </c>
      <c r="P46" s="3" t="s">
        <v>110</v>
      </c>
      <c r="Q46" s="3" t="s">
        <v>115</v>
      </c>
      <c r="R46" s="2"/>
      <c r="S46" s="2"/>
      <c r="T46" s="2"/>
      <c r="U46" s="2"/>
      <c r="V46" s="2"/>
      <c r="W46" s="2"/>
      <c r="X46" s="2"/>
      <c r="Y46" s="2"/>
    </row>
    <row r="47">
      <c r="A47" s="5" t="str">
        <f>IFERROR(__xludf.DUMMYFUNCTION("LEFT(A46, 4) &amp; TEXT(VALUE(REGEXEXTRACT(A46, ""\d+"")) + 1, ""0000"")"),"MAN-0045")</f>
        <v>MAN-0045</v>
      </c>
      <c r="B47" s="3" t="s">
        <v>18</v>
      </c>
      <c r="C47" s="3" t="s">
        <v>116</v>
      </c>
      <c r="D47" s="2" t="str">
        <f t="shared" si="1"/>
        <v>EMPRESTAR MANA | F</v>
      </c>
      <c r="E47" s="3" t="s">
        <v>20</v>
      </c>
      <c r="F47" s="3" t="s">
        <v>21</v>
      </c>
      <c r="G47" s="3" t="s">
        <v>22</v>
      </c>
      <c r="H47" s="3" t="s">
        <v>33</v>
      </c>
      <c r="I47" s="3" t="s">
        <v>117</v>
      </c>
      <c r="J47" s="3" t="s">
        <v>23</v>
      </c>
      <c r="K47" s="3" t="s">
        <v>95</v>
      </c>
      <c r="L47" s="6" t="s">
        <v>65</v>
      </c>
      <c r="M47" s="3" t="s">
        <v>66</v>
      </c>
      <c r="N47" s="3" t="s">
        <v>36</v>
      </c>
      <c r="O47" s="3" t="s">
        <v>23</v>
      </c>
      <c r="P47" s="3" t="s">
        <v>118</v>
      </c>
      <c r="Q47" s="3" t="s">
        <v>119</v>
      </c>
      <c r="R47" s="2"/>
      <c r="S47" s="2"/>
      <c r="T47" s="2"/>
      <c r="U47" s="2"/>
      <c r="V47" s="2"/>
      <c r="W47" s="2"/>
      <c r="X47" s="2"/>
      <c r="Y47" s="2"/>
    </row>
    <row r="48">
      <c r="A48" s="5" t="str">
        <f>IFERROR(__xludf.DUMMYFUNCTION("LEFT(A47, 4) &amp; TEXT(VALUE(REGEXEXTRACT(A47, ""\d+"")) + 1, ""0000"")"),"MAN-0046")</f>
        <v>MAN-0046</v>
      </c>
      <c r="B48" s="3" t="s">
        <v>18</v>
      </c>
      <c r="C48" s="3" t="s">
        <v>116</v>
      </c>
      <c r="D48" s="2" t="str">
        <f t="shared" si="1"/>
        <v>EMPRESTAR MANA | F</v>
      </c>
      <c r="E48" s="3" t="s">
        <v>20</v>
      </c>
      <c r="F48" s="3" t="s">
        <v>27</v>
      </c>
      <c r="G48" s="3" t="s">
        <v>22</v>
      </c>
      <c r="H48" s="3" t="s">
        <v>33</v>
      </c>
      <c r="I48" s="3" t="s">
        <v>117</v>
      </c>
      <c r="J48" s="3" t="s">
        <v>23</v>
      </c>
      <c r="K48" s="3" t="s">
        <v>95</v>
      </c>
      <c r="L48" s="6" t="s">
        <v>35</v>
      </c>
      <c r="M48" s="3" t="s">
        <v>66</v>
      </c>
      <c r="N48" s="3" t="s">
        <v>36</v>
      </c>
      <c r="O48" s="3" t="s">
        <v>23</v>
      </c>
      <c r="P48" s="3" t="s">
        <v>118</v>
      </c>
      <c r="Q48" s="3" t="s">
        <v>119</v>
      </c>
      <c r="R48" s="2"/>
      <c r="S48" s="2"/>
      <c r="T48" s="2"/>
      <c r="U48" s="2"/>
      <c r="V48" s="2"/>
      <c r="W48" s="2"/>
      <c r="X48" s="2"/>
      <c r="Y48" s="2"/>
    </row>
    <row r="49">
      <c r="A49" s="5" t="str">
        <f>IFERROR(__xludf.DUMMYFUNCTION("LEFT(A48, 4) &amp; TEXT(VALUE(REGEXEXTRACT(A48, ""\d+"")) + 1, ""0000"")"),"MAN-0047")</f>
        <v>MAN-0047</v>
      </c>
      <c r="B49" s="3" t="s">
        <v>18</v>
      </c>
      <c r="C49" s="3" t="s">
        <v>116</v>
      </c>
      <c r="D49" s="2" t="str">
        <f t="shared" si="1"/>
        <v>EMPRESTAR MANA | F</v>
      </c>
      <c r="E49" s="3" t="s">
        <v>20</v>
      </c>
      <c r="F49" s="3" t="s">
        <v>28</v>
      </c>
      <c r="G49" s="3" t="s">
        <v>22</v>
      </c>
      <c r="H49" s="3" t="s">
        <v>33</v>
      </c>
      <c r="I49" s="3" t="s">
        <v>117</v>
      </c>
      <c r="J49" s="3" t="s">
        <v>23</v>
      </c>
      <c r="K49" s="3" t="s">
        <v>95</v>
      </c>
      <c r="L49" s="6" t="s">
        <v>70</v>
      </c>
      <c r="M49" s="3" t="s">
        <v>66</v>
      </c>
      <c r="N49" s="3" t="s">
        <v>40</v>
      </c>
      <c r="O49" s="3" t="s">
        <v>23</v>
      </c>
      <c r="P49" s="3" t="s">
        <v>118</v>
      </c>
      <c r="Q49" s="3" t="s">
        <v>119</v>
      </c>
      <c r="R49" s="2"/>
      <c r="S49" s="2"/>
      <c r="T49" s="2"/>
      <c r="U49" s="2"/>
      <c r="V49" s="2"/>
      <c r="W49" s="2"/>
      <c r="X49" s="2"/>
      <c r="Y49" s="2"/>
    </row>
    <row r="50">
      <c r="A50" s="5" t="str">
        <f>IFERROR(__xludf.DUMMYFUNCTION("LEFT(A49, 4) &amp; TEXT(VALUE(REGEXEXTRACT(A49, ""\d+"")) + 1, ""0000"")"),"MAN-0048")</f>
        <v>MAN-0048</v>
      </c>
      <c r="B50" s="3" t="s">
        <v>18</v>
      </c>
      <c r="C50" s="3" t="s">
        <v>116</v>
      </c>
      <c r="D50" s="2" t="str">
        <f t="shared" si="1"/>
        <v>EMPRESTAR MANA | F</v>
      </c>
      <c r="E50" s="3" t="s">
        <v>20</v>
      </c>
      <c r="F50" s="3" t="s">
        <v>29</v>
      </c>
      <c r="G50" s="3" t="s">
        <v>22</v>
      </c>
      <c r="H50" s="3" t="s">
        <v>33</v>
      </c>
      <c r="I50" s="3" t="s">
        <v>117</v>
      </c>
      <c r="J50" s="3" t="s">
        <v>23</v>
      </c>
      <c r="K50" s="3" t="s">
        <v>95</v>
      </c>
      <c r="L50" s="6" t="s">
        <v>72</v>
      </c>
      <c r="M50" s="3" t="s">
        <v>66</v>
      </c>
      <c r="N50" s="3" t="s">
        <v>40</v>
      </c>
      <c r="O50" s="3" t="s">
        <v>23</v>
      </c>
      <c r="P50" s="3" t="s">
        <v>118</v>
      </c>
      <c r="Q50" s="3" t="s">
        <v>119</v>
      </c>
      <c r="R50" s="2"/>
      <c r="S50" s="2"/>
      <c r="T50" s="2"/>
      <c r="U50" s="2"/>
      <c r="V50" s="2"/>
      <c r="W50" s="2"/>
      <c r="X50" s="2"/>
      <c r="Y50" s="2"/>
    </row>
    <row r="51">
      <c r="A51" s="5" t="str">
        <f>IFERROR(__xludf.DUMMYFUNCTION("LEFT(A50, 4) &amp; TEXT(VALUE(REGEXEXTRACT(A50, ""\d+"")) + 1, ""0000"")"),"MAN-0049")</f>
        <v>MAN-0049</v>
      </c>
      <c r="B51" s="3" t="s">
        <v>18</v>
      </c>
      <c r="C51" s="3" t="s">
        <v>116</v>
      </c>
      <c r="D51" s="2" t="str">
        <f t="shared" si="1"/>
        <v>EMPRESTAR MANA | F</v>
      </c>
      <c r="E51" s="3" t="s">
        <v>20</v>
      </c>
      <c r="F51" s="3" t="s">
        <v>30</v>
      </c>
      <c r="G51" s="3" t="s">
        <v>22</v>
      </c>
      <c r="H51" s="3" t="s">
        <v>33</v>
      </c>
      <c r="I51" s="3" t="s">
        <v>117</v>
      </c>
      <c r="J51" s="3" t="s">
        <v>23</v>
      </c>
      <c r="K51" s="3" t="s">
        <v>95</v>
      </c>
      <c r="L51" s="6" t="s">
        <v>39</v>
      </c>
      <c r="M51" s="3" t="s">
        <v>66</v>
      </c>
      <c r="N51" s="3" t="s">
        <v>43</v>
      </c>
      <c r="O51" s="3" t="s">
        <v>23</v>
      </c>
      <c r="P51" s="3" t="s">
        <v>118</v>
      </c>
      <c r="Q51" s="3" t="s">
        <v>119</v>
      </c>
      <c r="R51" s="2"/>
      <c r="S51" s="2"/>
      <c r="T51" s="2"/>
      <c r="U51" s="2"/>
      <c r="V51" s="2"/>
      <c r="W51" s="2"/>
      <c r="X51" s="2"/>
      <c r="Y51" s="2"/>
    </row>
    <row r="52">
      <c r="A52" s="5" t="str">
        <f>IFERROR(__xludf.DUMMYFUNCTION("LEFT(A51, 4) &amp; TEXT(VALUE(REGEXEXTRACT(A51, ""\d+"")) + 1, ""0000"")"),"MAN-0050")</f>
        <v>MAN-0050</v>
      </c>
      <c r="B52" s="3" t="s">
        <v>18</v>
      </c>
      <c r="C52" s="3" t="s">
        <v>120</v>
      </c>
      <c r="D52" s="2" t="str">
        <f t="shared" si="1"/>
        <v>ALTERAR ARQUÉTIPO | D</v>
      </c>
      <c r="E52" s="3" t="s">
        <v>76</v>
      </c>
      <c r="F52" s="3" t="s">
        <v>21</v>
      </c>
      <c r="G52" s="3" t="s">
        <v>77</v>
      </c>
      <c r="H52" s="3" t="s">
        <v>33</v>
      </c>
      <c r="I52" s="3">
        <v>4.0</v>
      </c>
      <c r="J52" s="3" t="s">
        <v>23</v>
      </c>
      <c r="K52" s="3" t="s">
        <v>64</v>
      </c>
      <c r="L52" s="6" t="s">
        <v>65</v>
      </c>
      <c r="M52" s="3" t="s">
        <v>66</v>
      </c>
      <c r="N52" s="3" t="s">
        <v>36</v>
      </c>
      <c r="O52" s="3" t="s">
        <v>23</v>
      </c>
      <c r="P52" s="3" t="s">
        <v>121</v>
      </c>
      <c r="Q52" s="2"/>
      <c r="R52" s="2"/>
      <c r="S52" s="2"/>
      <c r="T52" s="2"/>
      <c r="U52" s="2"/>
      <c r="V52" s="2"/>
      <c r="W52" s="2"/>
      <c r="X52" s="2"/>
      <c r="Y52" s="2"/>
    </row>
    <row r="53">
      <c r="A53" s="5" t="str">
        <f>IFERROR(__xludf.DUMMYFUNCTION("LEFT(A52, 4) &amp; TEXT(VALUE(REGEXEXTRACT(A52, ""\d+"")) + 1, ""0000"")"),"MAN-0051")</f>
        <v>MAN-0051</v>
      </c>
      <c r="B53" s="3" t="s">
        <v>18</v>
      </c>
      <c r="C53" s="3" t="s">
        <v>122</v>
      </c>
      <c r="D53" s="2" t="str">
        <f t="shared" si="1"/>
        <v>ALTERAR ESCOLA | D</v>
      </c>
      <c r="E53" s="3" t="s">
        <v>76</v>
      </c>
      <c r="F53" s="3" t="s">
        <v>27</v>
      </c>
      <c r="G53" s="3" t="s">
        <v>77</v>
      </c>
      <c r="H53" s="3" t="s">
        <v>33</v>
      </c>
      <c r="I53" s="3">
        <v>4.0</v>
      </c>
      <c r="J53" s="3" t="s">
        <v>23</v>
      </c>
      <c r="K53" s="3" t="s">
        <v>64</v>
      </c>
      <c r="L53" s="6" t="s">
        <v>35</v>
      </c>
      <c r="M53" s="3" t="s">
        <v>66</v>
      </c>
      <c r="N53" s="3" t="s">
        <v>36</v>
      </c>
      <c r="O53" s="3" t="s">
        <v>23</v>
      </c>
      <c r="P53" s="3" t="s">
        <v>121</v>
      </c>
      <c r="Q53" s="2"/>
      <c r="R53" s="2"/>
      <c r="S53" s="2"/>
      <c r="T53" s="2"/>
      <c r="U53" s="2"/>
      <c r="V53" s="2"/>
      <c r="W53" s="2"/>
      <c r="X53" s="2"/>
      <c r="Y53" s="2"/>
    </row>
    <row r="54">
      <c r="A54" s="5" t="str">
        <f>IFERROR(__xludf.DUMMYFUNCTION("LEFT(A53, 4) &amp; TEXT(VALUE(REGEXEXTRACT(A53, ""\d+"")) + 1, ""0000"")"),"MAN-0052")</f>
        <v>MAN-0052</v>
      </c>
      <c r="B54" s="3" t="s">
        <v>18</v>
      </c>
      <c r="C54" s="3" t="s">
        <v>122</v>
      </c>
      <c r="D54" s="2" t="str">
        <f t="shared" si="1"/>
        <v>ALTERAR ESCOLA | D</v>
      </c>
      <c r="E54" s="3" t="s">
        <v>76</v>
      </c>
      <c r="F54" s="3" t="s">
        <v>28</v>
      </c>
      <c r="G54" s="3" t="s">
        <v>77</v>
      </c>
      <c r="H54" s="3" t="s">
        <v>33</v>
      </c>
      <c r="I54" s="3">
        <v>4.0</v>
      </c>
      <c r="J54" s="3" t="s">
        <v>23</v>
      </c>
      <c r="K54" s="3" t="s">
        <v>64</v>
      </c>
      <c r="L54" s="6" t="s">
        <v>70</v>
      </c>
      <c r="M54" s="3" t="s">
        <v>66</v>
      </c>
      <c r="N54" s="3" t="s">
        <v>40</v>
      </c>
      <c r="O54" s="3" t="s">
        <v>23</v>
      </c>
      <c r="P54" s="3" t="s">
        <v>121</v>
      </c>
      <c r="Q54" s="2"/>
      <c r="R54" s="2"/>
      <c r="S54" s="2"/>
      <c r="T54" s="2"/>
      <c r="U54" s="2"/>
      <c r="V54" s="2"/>
      <c r="W54" s="2"/>
      <c r="X54" s="2"/>
      <c r="Y54" s="2"/>
    </row>
    <row r="55">
      <c r="A55" s="5" t="str">
        <f>IFERROR(__xludf.DUMMYFUNCTION("LEFT(A54, 4) &amp; TEXT(VALUE(REGEXEXTRACT(A54, ""\d+"")) + 1, ""0000"")"),"MAN-0053")</f>
        <v>MAN-0053</v>
      </c>
      <c r="B55" s="3" t="s">
        <v>18</v>
      </c>
      <c r="C55" s="3" t="s">
        <v>122</v>
      </c>
      <c r="D55" s="2" t="str">
        <f t="shared" si="1"/>
        <v>ALTERAR ESCOLA | D</v>
      </c>
      <c r="E55" s="3" t="s">
        <v>76</v>
      </c>
      <c r="F55" s="3" t="s">
        <v>29</v>
      </c>
      <c r="G55" s="3" t="s">
        <v>77</v>
      </c>
      <c r="H55" s="3" t="s">
        <v>33</v>
      </c>
      <c r="I55" s="3">
        <v>4.0</v>
      </c>
      <c r="J55" s="3" t="s">
        <v>23</v>
      </c>
      <c r="K55" s="3" t="s">
        <v>64</v>
      </c>
      <c r="L55" s="6" t="s">
        <v>72</v>
      </c>
      <c r="M55" s="3" t="s">
        <v>66</v>
      </c>
      <c r="N55" s="3" t="s">
        <v>40</v>
      </c>
      <c r="O55" s="3" t="s">
        <v>23</v>
      </c>
      <c r="P55" s="3" t="s">
        <v>121</v>
      </c>
      <c r="Q55" s="2"/>
      <c r="R55" s="2"/>
      <c r="S55" s="2"/>
      <c r="T55" s="2"/>
      <c r="U55" s="2"/>
      <c r="V55" s="2"/>
      <c r="W55" s="2"/>
      <c r="X55" s="2"/>
      <c r="Y55" s="2"/>
    </row>
    <row r="56">
      <c r="A56" s="5" t="str">
        <f>IFERROR(__xludf.DUMMYFUNCTION("LEFT(A55, 4) &amp; TEXT(VALUE(REGEXEXTRACT(A55, ""\d+"")) + 1, ""0000"")"),"MAN-0054")</f>
        <v>MAN-0054</v>
      </c>
      <c r="B56" s="3" t="s">
        <v>18</v>
      </c>
      <c r="C56" s="3" t="s">
        <v>122</v>
      </c>
      <c r="D56" s="2" t="str">
        <f t="shared" si="1"/>
        <v>ALTERAR ESCOLA | D</v>
      </c>
      <c r="E56" s="3" t="s">
        <v>76</v>
      </c>
      <c r="F56" s="3" t="s">
        <v>30</v>
      </c>
      <c r="G56" s="3" t="s">
        <v>77</v>
      </c>
      <c r="H56" s="3" t="s">
        <v>33</v>
      </c>
      <c r="I56" s="3">
        <v>4.0</v>
      </c>
      <c r="J56" s="3" t="s">
        <v>23</v>
      </c>
      <c r="K56" s="3" t="s">
        <v>64</v>
      </c>
      <c r="L56" s="6" t="s">
        <v>39</v>
      </c>
      <c r="M56" s="3" t="s">
        <v>66</v>
      </c>
      <c r="N56" s="3" t="s">
        <v>43</v>
      </c>
      <c r="O56" s="3" t="s">
        <v>23</v>
      </c>
      <c r="P56" s="3" t="s">
        <v>121</v>
      </c>
      <c r="Q56" s="2"/>
      <c r="R56" s="2"/>
      <c r="S56" s="2"/>
      <c r="T56" s="2"/>
      <c r="U56" s="2"/>
      <c r="V56" s="2"/>
      <c r="W56" s="2"/>
      <c r="X56" s="2"/>
      <c r="Y56" s="2"/>
    </row>
    <row r="57">
      <c r="A57" s="5" t="str">
        <f>IFERROR(__xludf.DUMMYFUNCTION("LEFT(A56, 4) &amp; TEXT(VALUE(REGEXEXTRACT(A56, ""\d+"")) + 1, ""0000"")"),"MAN-0055")</f>
        <v>MAN-0055</v>
      </c>
      <c r="B57" s="3" t="s">
        <v>18</v>
      </c>
      <c r="C57" s="3" t="s">
        <v>123</v>
      </c>
      <c r="D57" s="2" t="str">
        <f t="shared" si="1"/>
        <v>ARMADURA MÁGICA | M</v>
      </c>
      <c r="E57" s="3" t="s">
        <v>48</v>
      </c>
      <c r="F57" s="3" t="s">
        <v>21</v>
      </c>
      <c r="G57" s="3" t="s">
        <v>86</v>
      </c>
      <c r="H57" s="3" t="s">
        <v>33</v>
      </c>
      <c r="I57" s="3">
        <v>2.0</v>
      </c>
      <c r="J57" s="3" t="s">
        <v>23</v>
      </c>
      <c r="K57" s="3" t="s">
        <v>95</v>
      </c>
      <c r="L57" s="6" t="s">
        <v>65</v>
      </c>
      <c r="M57" s="3" t="s">
        <v>124</v>
      </c>
      <c r="N57" s="3" t="s">
        <v>125</v>
      </c>
      <c r="O57" s="3" t="s">
        <v>126</v>
      </c>
      <c r="P57" s="3" t="s">
        <v>127</v>
      </c>
      <c r="Q57" s="2"/>
      <c r="R57" s="2"/>
      <c r="S57" s="2"/>
      <c r="T57" s="2"/>
      <c r="U57" s="2"/>
      <c r="V57" s="2"/>
      <c r="W57" s="2"/>
      <c r="X57" s="2"/>
      <c r="Y57" s="2"/>
    </row>
    <row r="58">
      <c r="A58" s="5" t="str">
        <f>IFERROR(__xludf.DUMMYFUNCTION("LEFT(A57, 4) &amp; TEXT(VALUE(REGEXEXTRACT(A57, ""\d+"")) + 1, ""0000"")"),"MAN-0056")</f>
        <v>MAN-0056</v>
      </c>
      <c r="B58" s="3" t="s">
        <v>18</v>
      </c>
      <c r="C58" s="3" t="s">
        <v>123</v>
      </c>
      <c r="D58" s="2" t="str">
        <f t="shared" si="1"/>
        <v>ARMADURA MÁGICA | M</v>
      </c>
      <c r="E58" s="3" t="s">
        <v>48</v>
      </c>
      <c r="F58" s="3" t="s">
        <v>27</v>
      </c>
      <c r="G58" s="3" t="s">
        <v>86</v>
      </c>
      <c r="H58" s="3" t="s">
        <v>33</v>
      </c>
      <c r="I58" s="3">
        <v>2.0</v>
      </c>
      <c r="J58" s="3" t="s">
        <v>23</v>
      </c>
      <c r="K58" s="3" t="s">
        <v>95</v>
      </c>
      <c r="L58" s="6" t="s">
        <v>35</v>
      </c>
      <c r="M58" s="3" t="s">
        <v>124</v>
      </c>
      <c r="N58" s="3" t="s">
        <v>128</v>
      </c>
      <c r="O58" s="3" t="s">
        <v>126</v>
      </c>
      <c r="P58" s="3" t="s">
        <v>129</v>
      </c>
      <c r="Q58" s="2"/>
      <c r="R58" s="2"/>
      <c r="S58" s="2"/>
      <c r="T58" s="2"/>
      <c r="U58" s="2"/>
      <c r="V58" s="2"/>
      <c r="W58" s="2"/>
      <c r="X58" s="2"/>
      <c r="Y58" s="2"/>
    </row>
    <row r="59">
      <c r="A59" s="5" t="str">
        <f>IFERROR(__xludf.DUMMYFUNCTION("LEFT(A58, 4) &amp; TEXT(VALUE(REGEXEXTRACT(A58, ""\d+"")) + 1, ""0000"")"),"MAN-0057")</f>
        <v>MAN-0057</v>
      </c>
      <c r="B59" s="3" t="s">
        <v>18</v>
      </c>
      <c r="C59" s="3" t="s">
        <v>123</v>
      </c>
      <c r="D59" s="2" t="str">
        <f t="shared" si="1"/>
        <v>ARMADURA MÁGICA | M</v>
      </c>
      <c r="E59" s="3" t="s">
        <v>48</v>
      </c>
      <c r="F59" s="3" t="s">
        <v>28</v>
      </c>
      <c r="G59" s="3" t="s">
        <v>86</v>
      </c>
      <c r="H59" s="3" t="s">
        <v>33</v>
      </c>
      <c r="I59" s="3">
        <v>2.0</v>
      </c>
      <c r="J59" s="3" t="s">
        <v>23</v>
      </c>
      <c r="K59" s="3" t="s">
        <v>95</v>
      </c>
      <c r="L59" s="6" t="s">
        <v>70</v>
      </c>
      <c r="M59" s="3" t="s">
        <v>124</v>
      </c>
      <c r="N59" s="3" t="s">
        <v>130</v>
      </c>
      <c r="O59" s="3" t="s">
        <v>131</v>
      </c>
      <c r="P59" s="3" t="s">
        <v>132</v>
      </c>
      <c r="Q59" s="2"/>
      <c r="R59" s="2"/>
      <c r="S59" s="2"/>
      <c r="T59" s="2"/>
      <c r="U59" s="2"/>
      <c r="V59" s="2"/>
      <c r="W59" s="2"/>
      <c r="X59" s="2"/>
      <c r="Y59" s="2"/>
    </row>
    <row r="60">
      <c r="A60" s="5" t="str">
        <f>IFERROR(__xludf.DUMMYFUNCTION("LEFT(A59, 4) &amp; TEXT(VALUE(REGEXEXTRACT(A59, ""\d+"")) + 1, ""0000"")"),"MAN-0058")</f>
        <v>MAN-0058</v>
      </c>
      <c r="B60" s="3" t="s">
        <v>18</v>
      </c>
      <c r="C60" s="3" t="s">
        <v>123</v>
      </c>
      <c r="D60" s="2" t="str">
        <f t="shared" si="1"/>
        <v>ARMADURA MÁGICA | M</v>
      </c>
      <c r="E60" s="3" t="s">
        <v>48</v>
      </c>
      <c r="F60" s="3" t="s">
        <v>29</v>
      </c>
      <c r="G60" s="3" t="s">
        <v>86</v>
      </c>
      <c r="H60" s="3" t="s">
        <v>33</v>
      </c>
      <c r="I60" s="3">
        <v>2.0</v>
      </c>
      <c r="J60" s="3" t="s">
        <v>23</v>
      </c>
      <c r="K60" s="3" t="s">
        <v>95</v>
      </c>
      <c r="L60" s="6" t="s">
        <v>72</v>
      </c>
      <c r="M60" s="3" t="s">
        <v>124</v>
      </c>
      <c r="N60" s="3" t="s">
        <v>133</v>
      </c>
      <c r="O60" s="3" t="s">
        <v>131</v>
      </c>
      <c r="P60" s="3" t="s">
        <v>134</v>
      </c>
      <c r="Q60" s="2"/>
      <c r="R60" s="2"/>
      <c r="S60" s="2"/>
      <c r="T60" s="2"/>
      <c r="U60" s="2"/>
      <c r="V60" s="2"/>
      <c r="W60" s="2"/>
      <c r="X60" s="2"/>
      <c r="Y60" s="2"/>
    </row>
    <row r="61">
      <c r="A61" s="5" t="str">
        <f>IFERROR(__xludf.DUMMYFUNCTION("LEFT(A60, 4) &amp; TEXT(VALUE(REGEXEXTRACT(A60, ""\d+"")) + 1, ""0000"")"),"MAN-0059")</f>
        <v>MAN-0059</v>
      </c>
      <c r="B61" s="3" t="s">
        <v>18</v>
      </c>
      <c r="C61" s="3" t="s">
        <v>123</v>
      </c>
      <c r="D61" s="2" t="str">
        <f t="shared" si="1"/>
        <v>ARMADURA MÁGICA | M</v>
      </c>
      <c r="E61" s="3" t="s">
        <v>48</v>
      </c>
      <c r="F61" s="3" t="s">
        <v>30</v>
      </c>
      <c r="G61" s="3" t="s">
        <v>86</v>
      </c>
      <c r="H61" s="3" t="s">
        <v>33</v>
      </c>
      <c r="I61" s="3">
        <v>2.0</v>
      </c>
      <c r="J61" s="3" t="s">
        <v>23</v>
      </c>
      <c r="K61" s="3" t="s">
        <v>95</v>
      </c>
      <c r="L61" s="6" t="s">
        <v>39</v>
      </c>
      <c r="M61" s="3" t="s">
        <v>124</v>
      </c>
      <c r="N61" s="3" t="s">
        <v>135</v>
      </c>
      <c r="O61" s="3" t="s">
        <v>136</v>
      </c>
      <c r="P61" s="3" t="s">
        <v>137</v>
      </c>
      <c r="Q61" s="2"/>
      <c r="R61" s="2"/>
      <c r="S61" s="2"/>
      <c r="T61" s="2"/>
      <c r="U61" s="2"/>
      <c r="V61" s="2"/>
      <c r="W61" s="2"/>
      <c r="X61" s="2"/>
      <c r="Y61" s="2"/>
    </row>
    <row r="62">
      <c r="A62" s="5" t="str">
        <f>IFERROR(__xludf.DUMMYFUNCTION("LEFT(A61, 4) &amp; TEXT(VALUE(REGEXEXTRACT(A61, ""\d+"")) + 1, ""0000"")"),"MAN-0060")</f>
        <v>MAN-0060</v>
      </c>
      <c r="B62" s="3" t="s">
        <v>18</v>
      </c>
      <c r="C62" s="3" t="s">
        <v>138</v>
      </c>
      <c r="D62" s="2" t="str">
        <f t="shared" si="1"/>
        <v>ESCUDO DE PROJÉTEIS | M</v>
      </c>
      <c r="E62" s="3" t="s">
        <v>48</v>
      </c>
      <c r="F62" s="3" t="s">
        <v>21</v>
      </c>
      <c r="G62" s="3" t="s">
        <v>86</v>
      </c>
      <c r="H62" s="3" t="s">
        <v>33</v>
      </c>
      <c r="I62" s="3">
        <v>4.0</v>
      </c>
      <c r="J62" s="3" t="s">
        <v>23</v>
      </c>
      <c r="K62" s="3" t="s">
        <v>95</v>
      </c>
      <c r="L62" s="6" t="s">
        <v>65</v>
      </c>
      <c r="M62" s="3" t="s">
        <v>124</v>
      </c>
      <c r="N62" s="3" t="s">
        <v>125</v>
      </c>
      <c r="O62" s="3" t="s">
        <v>126</v>
      </c>
      <c r="P62" s="3" t="s">
        <v>139</v>
      </c>
      <c r="Q62" s="3" t="s">
        <v>140</v>
      </c>
      <c r="R62" s="2"/>
      <c r="S62" s="2"/>
      <c r="T62" s="2"/>
      <c r="U62" s="2"/>
      <c r="V62" s="2"/>
      <c r="W62" s="2"/>
      <c r="X62" s="2"/>
      <c r="Y62" s="2"/>
    </row>
    <row r="63">
      <c r="A63" s="5" t="str">
        <f>IFERROR(__xludf.DUMMYFUNCTION("LEFT(A62, 4) &amp; TEXT(VALUE(REGEXEXTRACT(A62, ""\d+"")) + 1, ""0000"")"),"MAN-0061")</f>
        <v>MAN-0061</v>
      </c>
      <c r="B63" s="3" t="s">
        <v>18</v>
      </c>
      <c r="C63" s="3" t="s">
        <v>138</v>
      </c>
      <c r="D63" s="2" t="str">
        <f t="shared" si="1"/>
        <v>ESCUDO DE PROJÉTEIS | M</v>
      </c>
      <c r="E63" s="3" t="s">
        <v>48</v>
      </c>
      <c r="F63" s="3" t="s">
        <v>27</v>
      </c>
      <c r="G63" s="3" t="s">
        <v>86</v>
      </c>
      <c r="H63" s="3" t="s">
        <v>33</v>
      </c>
      <c r="I63" s="3">
        <v>4.0</v>
      </c>
      <c r="J63" s="3" t="s">
        <v>23</v>
      </c>
      <c r="K63" s="3" t="s">
        <v>95</v>
      </c>
      <c r="L63" s="6" t="s">
        <v>35</v>
      </c>
      <c r="M63" s="3" t="s">
        <v>124</v>
      </c>
      <c r="N63" s="3" t="s">
        <v>128</v>
      </c>
      <c r="O63" s="3" t="s">
        <v>126</v>
      </c>
      <c r="P63" s="3" t="s">
        <v>139</v>
      </c>
      <c r="Q63" s="3" t="s">
        <v>140</v>
      </c>
      <c r="R63" s="2"/>
      <c r="S63" s="2"/>
      <c r="T63" s="2"/>
      <c r="U63" s="2"/>
      <c r="V63" s="2"/>
      <c r="W63" s="2"/>
      <c r="X63" s="2"/>
      <c r="Y63" s="2"/>
    </row>
    <row r="64">
      <c r="A64" s="5" t="str">
        <f>IFERROR(__xludf.DUMMYFUNCTION("LEFT(A63, 4) &amp; TEXT(VALUE(REGEXEXTRACT(A63, ""\d+"")) + 1, ""0000"")"),"MAN-0062")</f>
        <v>MAN-0062</v>
      </c>
      <c r="B64" s="3" t="s">
        <v>18</v>
      </c>
      <c r="C64" s="3" t="s">
        <v>138</v>
      </c>
      <c r="D64" s="2" t="str">
        <f t="shared" si="1"/>
        <v>ESCUDO DE PROJÉTEIS | M</v>
      </c>
      <c r="E64" s="3" t="s">
        <v>48</v>
      </c>
      <c r="F64" s="3" t="s">
        <v>28</v>
      </c>
      <c r="G64" s="3" t="s">
        <v>86</v>
      </c>
      <c r="H64" s="3" t="s">
        <v>33</v>
      </c>
      <c r="I64" s="3">
        <v>4.0</v>
      </c>
      <c r="J64" s="3" t="s">
        <v>23</v>
      </c>
      <c r="K64" s="3" t="s">
        <v>95</v>
      </c>
      <c r="L64" s="6" t="s">
        <v>70</v>
      </c>
      <c r="M64" s="3" t="s">
        <v>124</v>
      </c>
      <c r="N64" s="3" t="s">
        <v>130</v>
      </c>
      <c r="O64" s="3" t="s">
        <v>131</v>
      </c>
      <c r="P64" s="3" t="s">
        <v>139</v>
      </c>
      <c r="Q64" s="3" t="s">
        <v>140</v>
      </c>
      <c r="R64" s="2"/>
      <c r="S64" s="2"/>
      <c r="T64" s="2"/>
      <c r="U64" s="2"/>
      <c r="V64" s="2"/>
      <c r="W64" s="2"/>
      <c r="X64" s="2"/>
      <c r="Y64" s="2"/>
    </row>
    <row r="65">
      <c r="A65" s="5" t="str">
        <f>IFERROR(__xludf.DUMMYFUNCTION("LEFT(A64, 4) &amp; TEXT(VALUE(REGEXEXTRACT(A64, ""\d+"")) + 1, ""0000"")"),"MAN-0063")</f>
        <v>MAN-0063</v>
      </c>
      <c r="B65" s="3" t="s">
        <v>18</v>
      </c>
      <c r="C65" s="3" t="s">
        <v>138</v>
      </c>
      <c r="D65" s="2" t="str">
        <f t="shared" si="1"/>
        <v>ESCUDO DE PROJÉTEIS | M</v>
      </c>
      <c r="E65" s="3" t="s">
        <v>48</v>
      </c>
      <c r="F65" s="3" t="s">
        <v>29</v>
      </c>
      <c r="G65" s="3" t="s">
        <v>86</v>
      </c>
      <c r="H65" s="3" t="s">
        <v>33</v>
      </c>
      <c r="I65" s="3">
        <v>4.0</v>
      </c>
      <c r="J65" s="3" t="s">
        <v>23</v>
      </c>
      <c r="K65" s="3" t="s">
        <v>95</v>
      </c>
      <c r="L65" s="6" t="s">
        <v>72</v>
      </c>
      <c r="M65" s="3" t="s">
        <v>124</v>
      </c>
      <c r="N65" s="3" t="s">
        <v>133</v>
      </c>
      <c r="O65" s="3" t="s">
        <v>131</v>
      </c>
      <c r="P65" s="3" t="s">
        <v>139</v>
      </c>
      <c r="Q65" s="3" t="s">
        <v>140</v>
      </c>
      <c r="R65" s="2"/>
      <c r="S65" s="2"/>
      <c r="T65" s="2"/>
      <c r="U65" s="2"/>
      <c r="V65" s="2"/>
      <c r="W65" s="2"/>
      <c r="X65" s="2"/>
      <c r="Y65" s="2"/>
    </row>
    <row r="66">
      <c r="A66" s="5" t="str">
        <f>IFERROR(__xludf.DUMMYFUNCTION("LEFT(A65, 4) &amp; TEXT(VALUE(REGEXEXTRACT(A65, ""\d+"")) + 1, ""0000"")"),"MAN-0064")</f>
        <v>MAN-0064</v>
      </c>
      <c r="B66" s="3" t="s">
        <v>18</v>
      </c>
      <c r="C66" s="3" t="s">
        <v>138</v>
      </c>
      <c r="D66" s="2" t="str">
        <f t="shared" si="1"/>
        <v>ESCUDO DE PROJÉTEIS | M</v>
      </c>
      <c r="E66" s="3" t="s">
        <v>48</v>
      </c>
      <c r="F66" s="3" t="s">
        <v>30</v>
      </c>
      <c r="G66" s="3" t="s">
        <v>86</v>
      </c>
      <c r="H66" s="3" t="s">
        <v>33</v>
      </c>
      <c r="I66" s="3">
        <v>4.0</v>
      </c>
      <c r="J66" s="3" t="s">
        <v>23</v>
      </c>
      <c r="K66" s="3" t="s">
        <v>95</v>
      </c>
      <c r="L66" s="6" t="s">
        <v>39</v>
      </c>
      <c r="M66" s="3" t="s">
        <v>124</v>
      </c>
      <c r="N66" s="3" t="s">
        <v>135</v>
      </c>
      <c r="O66" s="3" t="s">
        <v>136</v>
      </c>
      <c r="P66" s="3" t="s">
        <v>139</v>
      </c>
      <c r="Q66" s="3" t="s">
        <v>140</v>
      </c>
      <c r="R66" s="2"/>
      <c r="S66" s="2"/>
      <c r="T66" s="2"/>
      <c r="U66" s="2"/>
      <c r="V66" s="2"/>
      <c r="W66" s="2"/>
      <c r="X66" s="2"/>
      <c r="Y66" s="2"/>
    </row>
    <row r="67">
      <c r="A67" s="5" t="str">
        <f>IFERROR(__xludf.DUMMYFUNCTION("LEFT(A66, 4) &amp; TEXT(VALUE(REGEXEXTRACT(A66, ""\d+"")) + 1, ""0000"")"),"MAN-0065")</f>
        <v>MAN-0065</v>
      </c>
      <c r="B67" s="3" t="s">
        <v>18</v>
      </c>
      <c r="C67" s="3" t="s">
        <v>141</v>
      </c>
      <c r="D67" s="2" t="str">
        <f t="shared" si="1"/>
        <v>REVERTER PROJÉTEIS | D</v>
      </c>
      <c r="E67" s="3" t="s">
        <v>76</v>
      </c>
      <c r="F67" s="3" t="s">
        <v>21</v>
      </c>
      <c r="G67" s="3" t="s">
        <v>86</v>
      </c>
      <c r="H67" s="3" t="s">
        <v>142</v>
      </c>
      <c r="I67" s="3">
        <v>8.0</v>
      </c>
      <c r="J67" s="3" t="s">
        <v>50</v>
      </c>
      <c r="K67" s="3" t="s">
        <v>95</v>
      </c>
      <c r="L67" s="6" t="s">
        <v>65</v>
      </c>
      <c r="M67" s="3" t="s">
        <v>124</v>
      </c>
      <c r="N67" s="3" t="s">
        <v>125</v>
      </c>
      <c r="O67" s="3" t="s">
        <v>126</v>
      </c>
      <c r="P67" s="3" t="s">
        <v>143</v>
      </c>
      <c r="Q67" s="3" t="s">
        <v>144</v>
      </c>
      <c r="R67" s="2"/>
      <c r="S67" s="2"/>
      <c r="T67" s="2"/>
      <c r="U67" s="2"/>
      <c r="V67" s="2"/>
      <c r="W67" s="2"/>
      <c r="X67" s="2"/>
      <c r="Y67" s="2"/>
    </row>
    <row r="68">
      <c r="A68" s="5" t="str">
        <f>IFERROR(__xludf.DUMMYFUNCTION("LEFT(A67, 4) &amp; TEXT(VALUE(REGEXEXTRACT(A67, ""\d+"")) + 1, ""0000"")"),"MAN-0066")</f>
        <v>MAN-0066</v>
      </c>
      <c r="B68" s="3" t="s">
        <v>18</v>
      </c>
      <c r="C68" s="3" t="s">
        <v>141</v>
      </c>
      <c r="D68" s="2" t="str">
        <f t="shared" si="1"/>
        <v>REVERTER PROJÉTEIS | D</v>
      </c>
      <c r="E68" s="3" t="s">
        <v>76</v>
      </c>
      <c r="F68" s="3" t="s">
        <v>27</v>
      </c>
      <c r="G68" s="3" t="s">
        <v>86</v>
      </c>
      <c r="H68" s="3" t="s">
        <v>142</v>
      </c>
      <c r="I68" s="3">
        <v>8.0</v>
      </c>
      <c r="J68" s="3" t="s">
        <v>50</v>
      </c>
      <c r="K68" s="3" t="s">
        <v>95</v>
      </c>
      <c r="L68" s="6" t="s">
        <v>35</v>
      </c>
      <c r="M68" s="3" t="s">
        <v>124</v>
      </c>
      <c r="N68" s="3" t="s">
        <v>128</v>
      </c>
      <c r="O68" s="3" t="s">
        <v>126</v>
      </c>
      <c r="P68" s="3" t="s">
        <v>143</v>
      </c>
      <c r="Q68" s="3" t="s">
        <v>144</v>
      </c>
      <c r="R68" s="2"/>
      <c r="S68" s="2"/>
      <c r="T68" s="2"/>
      <c r="U68" s="2"/>
      <c r="V68" s="2"/>
      <c r="W68" s="2"/>
      <c r="X68" s="2"/>
      <c r="Y68" s="2"/>
    </row>
    <row r="69">
      <c r="A69" s="5" t="str">
        <f>IFERROR(__xludf.DUMMYFUNCTION("LEFT(A68, 4) &amp; TEXT(VALUE(REGEXEXTRACT(A68, ""\d+"")) + 1, ""0000"")"),"MAN-0067")</f>
        <v>MAN-0067</v>
      </c>
      <c r="B69" s="3" t="s">
        <v>18</v>
      </c>
      <c r="C69" s="3" t="s">
        <v>141</v>
      </c>
      <c r="D69" s="2" t="str">
        <f t="shared" si="1"/>
        <v>REVERTER PROJÉTEIS | D</v>
      </c>
      <c r="E69" s="3" t="s">
        <v>76</v>
      </c>
      <c r="F69" s="3" t="s">
        <v>28</v>
      </c>
      <c r="G69" s="3" t="s">
        <v>86</v>
      </c>
      <c r="H69" s="3" t="s">
        <v>142</v>
      </c>
      <c r="I69" s="3">
        <v>8.0</v>
      </c>
      <c r="J69" s="3" t="s">
        <v>50</v>
      </c>
      <c r="K69" s="3" t="s">
        <v>95</v>
      </c>
      <c r="L69" s="6" t="s">
        <v>70</v>
      </c>
      <c r="M69" s="3" t="s">
        <v>124</v>
      </c>
      <c r="N69" s="3" t="s">
        <v>130</v>
      </c>
      <c r="O69" s="3" t="s">
        <v>131</v>
      </c>
      <c r="P69" s="3" t="s">
        <v>143</v>
      </c>
      <c r="Q69" s="3" t="s">
        <v>144</v>
      </c>
      <c r="R69" s="2"/>
      <c r="S69" s="2"/>
      <c r="T69" s="2"/>
      <c r="U69" s="2"/>
      <c r="V69" s="2"/>
      <c r="W69" s="2"/>
      <c r="X69" s="2"/>
      <c r="Y69" s="2"/>
    </row>
    <row r="70">
      <c r="A70" s="5" t="str">
        <f>IFERROR(__xludf.DUMMYFUNCTION("LEFT(A69, 4) &amp; TEXT(VALUE(REGEXEXTRACT(A69, ""\d+"")) + 1, ""0000"")"),"MAN-0068")</f>
        <v>MAN-0068</v>
      </c>
      <c r="B70" s="3" t="s">
        <v>18</v>
      </c>
      <c r="C70" s="3" t="s">
        <v>141</v>
      </c>
      <c r="D70" s="2" t="str">
        <f t="shared" si="1"/>
        <v>REVERTER PROJÉTEIS | D</v>
      </c>
      <c r="E70" s="3" t="s">
        <v>76</v>
      </c>
      <c r="F70" s="3" t="s">
        <v>29</v>
      </c>
      <c r="G70" s="3" t="s">
        <v>86</v>
      </c>
      <c r="H70" s="3" t="s">
        <v>142</v>
      </c>
      <c r="I70" s="3">
        <v>8.0</v>
      </c>
      <c r="J70" s="3" t="s">
        <v>50</v>
      </c>
      <c r="K70" s="3" t="s">
        <v>95</v>
      </c>
      <c r="L70" s="6" t="s">
        <v>72</v>
      </c>
      <c r="M70" s="3" t="s">
        <v>124</v>
      </c>
      <c r="N70" s="3" t="s">
        <v>133</v>
      </c>
      <c r="O70" s="3" t="s">
        <v>131</v>
      </c>
      <c r="P70" s="3" t="s">
        <v>143</v>
      </c>
      <c r="Q70" s="3" t="s">
        <v>144</v>
      </c>
      <c r="R70" s="2"/>
      <c r="S70" s="2"/>
      <c r="T70" s="2"/>
      <c r="U70" s="2"/>
      <c r="V70" s="2"/>
      <c r="W70" s="2"/>
      <c r="X70" s="2"/>
      <c r="Y70" s="2"/>
    </row>
    <row r="71">
      <c r="A71" s="5" t="str">
        <f>IFERROR(__xludf.DUMMYFUNCTION("LEFT(A70, 4) &amp; TEXT(VALUE(REGEXEXTRACT(A70, ""\d+"")) + 1, ""0000"")"),"MAN-0069")</f>
        <v>MAN-0069</v>
      </c>
      <c r="B71" s="3" t="s">
        <v>18</v>
      </c>
      <c r="C71" s="3" t="s">
        <v>141</v>
      </c>
      <c r="D71" s="2" t="str">
        <f t="shared" si="1"/>
        <v>REVERTER PROJÉTEIS | D</v>
      </c>
      <c r="E71" s="3" t="s">
        <v>76</v>
      </c>
      <c r="F71" s="3" t="s">
        <v>30</v>
      </c>
      <c r="G71" s="3" t="s">
        <v>86</v>
      </c>
      <c r="H71" s="3" t="s">
        <v>142</v>
      </c>
      <c r="I71" s="3">
        <v>8.0</v>
      </c>
      <c r="J71" s="3" t="s">
        <v>23</v>
      </c>
      <c r="K71" s="3" t="s">
        <v>95</v>
      </c>
      <c r="L71" s="6" t="s">
        <v>39</v>
      </c>
      <c r="M71" s="3" t="s">
        <v>124</v>
      </c>
      <c r="N71" s="3" t="s">
        <v>135</v>
      </c>
      <c r="O71" s="3" t="s">
        <v>136</v>
      </c>
      <c r="P71" s="3" t="s">
        <v>143</v>
      </c>
      <c r="Q71" s="3" t="s">
        <v>144</v>
      </c>
      <c r="R71" s="2"/>
      <c r="S71" s="2"/>
      <c r="T71" s="2"/>
      <c r="U71" s="2"/>
      <c r="V71" s="2"/>
      <c r="W71" s="2"/>
      <c r="X71" s="2"/>
      <c r="Y71" s="2"/>
    </row>
    <row r="72">
      <c r="A72" s="5" t="str">
        <f>IFERROR(__xludf.DUMMYFUNCTION("LEFT(A71, 4) &amp; TEXT(VALUE(REGEXEXTRACT(A71, ""\d+"")) + 1, ""0000"")"),"MAN-0070")</f>
        <v>MAN-0070</v>
      </c>
      <c r="B72" s="3" t="s">
        <v>18</v>
      </c>
      <c r="C72" s="3" t="s">
        <v>145</v>
      </c>
      <c r="D72" s="2" t="str">
        <f t="shared" si="1"/>
        <v>ARREMESAR FEITIÇO | F</v>
      </c>
      <c r="E72" s="3" t="s">
        <v>20</v>
      </c>
      <c r="F72" s="3" t="s">
        <v>21</v>
      </c>
      <c r="G72" s="3" t="s">
        <v>146</v>
      </c>
      <c r="H72" s="3" t="s">
        <v>33</v>
      </c>
      <c r="I72" s="3">
        <v>0.0</v>
      </c>
      <c r="J72" s="3" t="s">
        <v>23</v>
      </c>
      <c r="K72" s="3" t="s">
        <v>64</v>
      </c>
      <c r="L72" s="3" t="s">
        <v>147</v>
      </c>
      <c r="M72" s="3" t="s">
        <v>66</v>
      </c>
      <c r="N72" s="3" t="s">
        <v>148</v>
      </c>
      <c r="O72" s="3" t="s">
        <v>23</v>
      </c>
      <c r="P72" s="3" t="s">
        <v>149</v>
      </c>
      <c r="Q72" s="3" t="s">
        <v>150</v>
      </c>
      <c r="R72" s="2"/>
      <c r="S72" s="2"/>
      <c r="T72" s="2"/>
      <c r="U72" s="2"/>
      <c r="V72" s="2"/>
      <c r="W72" s="2"/>
      <c r="X72" s="2"/>
      <c r="Y72" s="2"/>
    </row>
    <row r="73">
      <c r="A73" s="5" t="str">
        <f>IFERROR(__xludf.DUMMYFUNCTION("LEFT(A72, 4) &amp; TEXT(VALUE(REGEXEXTRACT(A72, ""\d+"")) + 1, ""0000"")"),"MAN-0071")</f>
        <v>MAN-0071</v>
      </c>
      <c r="B73" s="3" t="s">
        <v>18</v>
      </c>
      <c r="C73" s="3" t="s">
        <v>145</v>
      </c>
      <c r="D73" s="2" t="str">
        <f t="shared" si="1"/>
        <v>ARREMESAR FEITIÇO | F</v>
      </c>
      <c r="E73" s="3" t="s">
        <v>20</v>
      </c>
      <c r="F73" s="3" t="s">
        <v>27</v>
      </c>
      <c r="G73" s="3" t="s">
        <v>146</v>
      </c>
      <c r="H73" s="3" t="s">
        <v>33</v>
      </c>
      <c r="I73" s="3">
        <v>0.0</v>
      </c>
      <c r="J73" s="3" t="s">
        <v>23</v>
      </c>
      <c r="K73" s="3" t="s">
        <v>64</v>
      </c>
      <c r="L73" s="3" t="s">
        <v>151</v>
      </c>
      <c r="M73" s="3" t="s">
        <v>66</v>
      </c>
      <c r="N73" s="3" t="s">
        <v>148</v>
      </c>
      <c r="O73" s="3" t="s">
        <v>23</v>
      </c>
      <c r="P73" s="3" t="s">
        <v>149</v>
      </c>
      <c r="Q73" s="3" t="s">
        <v>150</v>
      </c>
      <c r="R73" s="2"/>
      <c r="S73" s="2"/>
      <c r="T73" s="2"/>
      <c r="U73" s="2"/>
      <c r="V73" s="2"/>
      <c r="W73" s="2"/>
      <c r="X73" s="2"/>
      <c r="Y73" s="2"/>
    </row>
    <row r="74">
      <c r="A74" s="5" t="str">
        <f>IFERROR(__xludf.DUMMYFUNCTION("LEFT(A73, 4) &amp; TEXT(VALUE(REGEXEXTRACT(A73, ""\d+"")) + 1, ""0000"")"),"MAN-0072")</f>
        <v>MAN-0072</v>
      </c>
      <c r="B74" s="3" t="s">
        <v>18</v>
      </c>
      <c r="C74" s="3" t="s">
        <v>145</v>
      </c>
      <c r="D74" s="2" t="str">
        <f t="shared" si="1"/>
        <v>ARREMESAR FEITIÇO | F</v>
      </c>
      <c r="E74" s="3" t="s">
        <v>20</v>
      </c>
      <c r="F74" s="3" t="s">
        <v>28</v>
      </c>
      <c r="G74" s="3" t="s">
        <v>146</v>
      </c>
      <c r="H74" s="3" t="s">
        <v>33</v>
      </c>
      <c r="I74" s="3">
        <v>0.0</v>
      </c>
      <c r="J74" s="3" t="s">
        <v>23</v>
      </c>
      <c r="K74" s="3" t="s">
        <v>64</v>
      </c>
      <c r="L74" s="3" t="s">
        <v>152</v>
      </c>
      <c r="M74" s="3" t="s">
        <v>66</v>
      </c>
      <c r="N74" s="3" t="s">
        <v>153</v>
      </c>
      <c r="O74" s="3" t="s">
        <v>23</v>
      </c>
      <c r="P74" s="3" t="s">
        <v>149</v>
      </c>
      <c r="Q74" s="3" t="s">
        <v>154</v>
      </c>
      <c r="R74" s="2"/>
      <c r="S74" s="2"/>
      <c r="T74" s="2"/>
      <c r="U74" s="2"/>
      <c r="V74" s="2"/>
      <c r="W74" s="2"/>
      <c r="X74" s="2"/>
      <c r="Y74" s="2"/>
    </row>
    <row r="75">
      <c r="A75" s="5" t="str">
        <f>IFERROR(__xludf.DUMMYFUNCTION("LEFT(A74, 4) &amp; TEXT(VALUE(REGEXEXTRACT(A74, ""\d+"")) + 1, ""0000"")"),"MAN-0073")</f>
        <v>MAN-0073</v>
      </c>
      <c r="B75" s="3" t="s">
        <v>18</v>
      </c>
      <c r="C75" s="3" t="s">
        <v>145</v>
      </c>
      <c r="D75" s="2" t="str">
        <f t="shared" si="1"/>
        <v>ARREMESAR FEITIÇO | F</v>
      </c>
      <c r="E75" s="3" t="s">
        <v>20</v>
      </c>
      <c r="F75" s="3" t="s">
        <v>29</v>
      </c>
      <c r="G75" s="3" t="s">
        <v>146</v>
      </c>
      <c r="H75" s="3" t="s">
        <v>33</v>
      </c>
      <c r="I75" s="3">
        <v>0.0</v>
      </c>
      <c r="J75" s="3" t="s">
        <v>23</v>
      </c>
      <c r="K75" s="3" t="s">
        <v>64</v>
      </c>
      <c r="L75" s="3" t="s">
        <v>155</v>
      </c>
      <c r="M75" s="3" t="s">
        <v>66</v>
      </c>
      <c r="N75" s="3" t="s">
        <v>153</v>
      </c>
      <c r="O75" s="3" t="s">
        <v>23</v>
      </c>
      <c r="P75" s="3" t="s">
        <v>149</v>
      </c>
      <c r="Q75" s="3" t="s">
        <v>154</v>
      </c>
      <c r="R75" s="2"/>
      <c r="S75" s="2"/>
      <c r="T75" s="2"/>
      <c r="U75" s="2"/>
      <c r="V75" s="2"/>
      <c r="W75" s="2"/>
      <c r="X75" s="2"/>
      <c r="Y75" s="2"/>
    </row>
    <row r="76">
      <c r="A76" s="5" t="str">
        <f>IFERROR(__xludf.DUMMYFUNCTION("LEFT(A75, 4) &amp; TEXT(VALUE(REGEXEXTRACT(A75, ""\d+"")) + 1, ""0000"")"),"MAN-0074")</f>
        <v>MAN-0074</v>
      </c>
      <c r="B76" s="3" t="s">
        <v>18</v>
      </c>
      <c r="C76" s="3" t="s">
        <v>145</v>
      </c>
      <c r="D76" s="2" t="str">
        <f t="shared" si="1"/>
        <v>ARREMESAR FEITIÇO | F</v>
      </c>
      <c r="E76" s="3" t="s">
        <v>20</v>
      </c>
      <c r="F76" s="3" t="s">
        <v>30</v>
      </c>
      <c r="G76" s="3" t="s">
        <v>146</v>
      </c>
      <c r="H76" s="3" t="s">
        <v>33</v>
      </c>
      <c r="I76" s="3">
        <v>0.0</v>
      </c>
      <c r="J76" s="3" t="s">
        <v>23</v>
      </c>
      <c r="K76" s="3" t="s">
        <v>64</v>
      </c>
      <c r="L76" s="3" t="s">
        <v>156</v>
      </c>
      <c r="M76" s="3" t="s">
        <v>66</v>
      </c>
      <c r="N76" s="3" t="s">
        <v>157</v>
      </c>
      <c r="O76" s="3" t="s">
        <v>23</v>
      </c>
      <c r="P76" s="3" t="s">
        <v>149</v>
      </c>
      <c r="Q76" s="3" t="s">
        <v>158</v>
      </c>
      <c r="R76" s="2"/>
      <c r="S76" s="2"/>
      <c r="T76" s="2"/>
      <c r="U76" s="2"/>
      <c r="V76" s="2"/>
      <c r="W76" s="2"/>
      <c r="X76" s="2"/>
      <c r="Y76" s="2"/>
    </row>
    <row r="77">
      <c r="A77" s="5" t="str">
        <f>IFERROR(__xludf.DUMMYFUNCTION("LEFT(A76, 4) &amp; TEXT(VALUE(REGEXEXTRACT(A76, ""\d+"")) + 1, ""0000"")"),"MAN-0075")</f>
        <v>MAN-0075</v>
      </c>
      <c r="B77" s="3" t="s">
        <v>18</v>
      </c>
      <c r="C77" s="3" t="s">
        <v>159</v>
      </c>
      <c r="D77" s="2" t="str">
        <f t="shared" si="1"/>
        <v>MARCAR | F</v>
      </c>
      <c r="E77" s="3" t="s">
        <v>20</v>
      </c>
      <c r="F77" s="3" t="s">
        <v>21</v>
      </c>
      <c r="G77" s="3" t="s">
        <v>32</v>
      </c>
      <c r="H77" s="3" t="s">
        <v>33</v>
      </c>
      <c r="I77" s="3">
        <v>2.0</v>
      </c>
      <c r="J77" s="3" t="s">
        <v>50</v>
      </c>
      <c r="K77" s="3" t="s">
        <v>95</v>
      </c>
      <c r="L77" s="3" t="s">
        <v>160</v>
      </c>
      <c r="M77" s="3" t="s">
        <v>124</v>
      </c>
      <c r="N77" s="3" t="s">
        <v>161</v>
      </c>
      <c r="O77" s="3" t="s">
        <v>162</v>
      </c>
      <c r="P77" s="3" t="s">
        <v>163</v>
      </c>
      <c r="Q77" s="2"/>
      <c r="R77" s="2"/>
      <c r="S77" s="2"/>
      <c r="T77" s="2"/>
      <c r="U77" s="2"/>
      <c r="V77" s="2"/>
      <c r="W77" s="2"/>
      <c r="X77" s="2"/>
      <c r="Y77" s="2"/>
    </row>
    <row r="78">
      <c r="A78" s="5" t="str">
        <f>IFERROR(__xludf.DUMMYFUNCTION("LEFT(A77, 4) &amp; TEXT(VALUE(REGEXEXTRACT(A77, ""\d+"")) + 1, ""0000"")"),"MAN-0076")</f>
        <v>MAN-0076</v>
      </c>
      <c r="B78" s="3" t="s">
        <v>18</v>
      </c>
      <c r="C78" s="3" t="s">
        <v>159</v>
      </c>
      <c r="D78" s="2" t="str">
        <f t="shared" si="1"/>
        <v>MARCAR | F</v>
      </c>
      <c r="E78" s="3" t="s">
        <v>20</v>
      </c>
      <c r="F78" s="3" t="s">
        <v>27</v>
      </c>
      <c r="G78" s="3" t="s">
        <v>32</v>
      </c>
      <c r="H78" s="3" t="s">
        <v>33</v>
      </c>
      <c r="I78" s="3">
        <v>2.0</v>
      </c>
      <c r="J78" s="3" t="s">
        <v>50</v>
      </c>
      <c r="K78" s="3" t="s">
        <v>95</v>
      </c>
      <c r="L78" s="3" t="s">
        <v>160</v>
      </c>
      <c r="M78" s="3" t="s">
        <v>124</v>
      </c>
      <c r="N78" s="3" t="s">
        <v>164</v>
      </c>
      <c r="O78" s="3" t="s">
        <v>165</v>
      </c>
      <c r="P78" s="3" t="s">
        <v>163</v>
      </c>
      <c r="Q78" s="2"/>
      <c r="R78" s="2"/>
      <c r="S78" s="2"/>
      <c r="T78" s="2"/>
      <c r="U78" s="2"/>
      <c r="V78" s="2"/>
      <c r="W78" s="2"/>
      <c r="X78" s="2"/>
      <c r="Y78" s="2"/>
    </row>
    <row r="79">
      <c r="A79" s="5" t="str">
        <f>IFERROR(__xludf.DUMMYFUNCTION("LEFT(A78, 4) &amp; TEXT(VALUE(REGEXEXTRACT(A78, ""\d+"")) + 1, ""0000"")"),"MAN-0077")</f>
        <v>MAN-0077</v>
      </c>
      <c r="B79" s="3" t="s">
        <v>18</v>
      </c>
      <c r="C79" s="3" t="s">
        <v>159</v>
      </c>
      <c r="D79" s="2" t="str">
        <f t="shared" si="1"/>
        <v>MARCAR | F</v>
      </c>
      <c r="E79" s="3" t="s">
        <v>20</v>
      </c>
      <c r="F79" s="3" t="s">
        <v>28</v>
      </c>
      <c r="G79" s="3" t="s">
        <v>32</v>
      </c>
      <c r="H79" s="3" t="s">
        <v>33</v>
      </c>
      <c r="I79" s="3">
        <v>2.0</v>
      </c>
      <c r="J79" s="3" t="s">
        <v>50</v>
      </c>
      <c r="K79" s="3" t="s">
        <v>95</v>
      </c>
      <c r="L79" s="3" t="s">
        <v>160</v>
      </c>
      <c r="M79" s="3" t="s">
        <v>124</v>
      </c>
      <c r="N79" s="3" t="s">
        <v>166</v>
      </c>
      <c r="O79" s="3" t="s">
        <v>167</v>
      </c>
      <c r="P79" s="3" t="s">
        <v>163</v>
      </c>
      <c r="Q79" s="2"/>
      <c r="R79" s="2"/>
      <c r="S79" s="2"/>
      <c r="T79" s="2"/>
      <c r="U79" s="2"/>
      <c r="V79" s="2"/>
      <c r="W79" s="2"/>
      <c r="X79" s="2"/>
      <c r="Y79" s="2"/>
    </row>
    <row r="80">
      <c r="A80" s="5" t="str">
        <f>IFERROR(__xludf.DUMMYFUNCTION("LEFT(A79, 4) &amp; TEXT(VALUE(REGEXEXTRACT(A79, ""\d+"")) + 1, ""0000"")"),"MAN-0078")</f>
        <v>MAN-0078</v>
      </c>
      <c r="B80" s="3" t="s">
        <v>18</v>
      </c>
      <c r="C80" s="3" t="s">
        <v>159</v>
      </c>
      <c r="D80" s="2" t="str">
        <f t="shared" si="1"/>
        <v>MARCAR | F</v>
      </c>
      <c r="E80" s="3" t="s">
        <v>20</v>
      </c>
      <c r="F80" s="3" t="s">
        <v>29</v>
      </c>
      <c r="G80" s="3" t="s">
        <v>32</v>
      </c>
      <c r="H80" s="3" t="s">
        <v>33</v>
      </c>
      <c r="I80" s="3">
        <v>2.0</v>
      </c>
      <c r="J80" s="3" t="s">
        <v>50</v>
      </c>
      <c r="K80" s="3" t="s">
        <v>95</v>
      </c>
      <c r="L80" s="3" t="s">
        <v>160</v>
      </c>
      <c r="M80" s="3" t="s">
        <v>124</v>
      </c>
      <c r="N80" s="3" t="s">
        <v>168</v>
      </c>
      <c r="O80" s="3" t="s">
        <v>169</v>
      </c>
      <c r="P80" s="3" t="s">
        <v>163</v>
      </c>
      <c r="Q80" s="2"/>
      <c r="R80" s="2"/>
      <c r="S80" s="2"/>
      <c r="T80" s="2"/>
      <c r="U80" s="2"/>
      <c r="V80" s="2"/>
      <c r="W80" s="2"/>
      <c r="X80" s="2"/>
      <c r="Y80" s="2"/>
    </row>
    <row r="81">
      <c r="A81" s="5" t="str">
        <f>IFERROR(__xludf.DUMMYFUNCTION("LEFT(A80, 4) &amp; TEXT(VALUE(REGEXEXTRACT(A80, ""\d+"")) + 1, ""0000"")"),"MAN-0079")</f>
        <v>MAN-0079</v>
      </c>
      <c r="B81" s="3" t="s">
        <v>18</v>
      </c>
      <c r="C81" s="3" t="s">
        <v>159</v>
      </c>
      <c r="D81" s="2" t="str">
        <f t="shared" si="1"/>
        <v>MARCAR | F</v>
      </c>
      <c r="E81" s="3" t="s">
        <v>20</v>
      </c>
      <c r="F81" s="3" t="s">
        <v>30</v>
      </c>
      <c r="G81" s="3" t="s">
        <v>32</v>
      </c>
      <c r="H81" s="3" t="s">
        <v>33</v>
      </c>
      <c r="I81" s="3">
        <v>2.0</v>
      </c>
      <c r="J81" s="3" t="s">
        <v>23</v>
      </c>
      <c r="K81" s="3" t="s">
        <v>95</v>
      </c>
      <c r="L81" s="3" t="s">
        <v>160</v>
      </c>
      <c r="M81" s="3" t="s">
        <v>124</v>
      </c>
      <c r="N81" s="3" t="s">
        <v>170</v>
      </c>
      <c r="O81" s="3" t="s">
        <v>171</v>
      </c>
      <c r="P81" s="3" t="s">
        <v>163</v>
      </c>
      <c r="Q81" s="2"/>
      <c r="R81" s="2"/>
      <c r="S81" s="2"/>
      <c r="T81" s="2"/>
      <c r="U81" s="2"/>
      <c r="V81" s="2"/>
      <c r="W81" s="2"/>
      <c r="X81" s="2"/>
      <c r="Y81" s="2"/>
    </row>
    <row r="82">
      <c r="A82" s="5" t="str">
        <f>IFERROR(__xludf.DUMMYFUNCTION("LEFT(A81, 4) &amp; TEXT(VALUE(REGEXEXTRACT(A81, ""\d+"")) + 1, ""0000"")"),"MAN-0080")</f>
        <v>MAN-0080</v>
      </c>
      <c r="B82" s="3" t="s">
        <v>18</v>
      </c>
      <c r="C82" s="3" t="s">
        <v>172</v>
      </c>
      <c r="D82" s="2" t="str">
        <f t="shared" si="1"/>
        <v>BUSCAR | F</v>
      </c>
      <c r="E82" s="3" t="s">
        <v>20</v>
      </c>
      <c r="F82" s="3" t="s">
        <v>21</v>
      </c>
      <c r="G82" s="3" t="s">
        <v>32</v>
      </c>
      <c r="H82" s="3" t="s">
        <v>173</v>
      </c>
      <c r="I82" s="3">
        <v>2.0</v>
      </c>
      <c r="J82" s="3" t="s">
        <v>50</v>
      </c>
      <c r="K82" s="3" t="s">
        <v>95</v>
      </c>
      <c r="L82" s="7" t="s">
        <v>38</v>
      </c>
      <c r="M82" s="3" t="s">
        <v>124</v>
      </c>
      <c r="N82" s="3" t="s">
        <v>174</v>
      </c>
      <c r="O82" s="3" t="s">
        <v>23</v>
      </c>
      <c r="P82" s="3" t="s">
        <v>175</v>
      </c>
      <c r="Q82" s="3" t="s">
        <v>176</v>
      </c>
      <c r="R82" s="2"/>
      <c r="S82" s="2"/>
      <c r="T82" s="2"/>
      <c r="U82" s="2"/>
      <c r="V82" s="2"/>
      <c r="W82" s="2"/>
      <c r="X82" s="2"/>
      <c r="Y82" s="2"/>
    </row>
    <row r="83">
      <c r="A83" s="5" t="str">
        <f>IFERROR(__xludf.DUMMYFUNCTION("LEFT(A82, 4) &amp; TEXT(VALUE(REGEXEXTRACT(A82, ""\d+"")) + 1, ""0000"")"),"MAN-0081")</f>
        <v>MAN-0081</v>
      </c>
      <c r="B83" s="3" t="s">
        <v>18</v>
      </c>
      <c r="C83" s="3" t="s">
        <v>172</v>
      </c>
      <c r="D83" s="2" t="str">
        <f t="shared" si="1"/>
        <v>BUSCAR | F</v>
      </c>
      <c r="E83" s="3" t="s">
        <v>20</v>
      </c>
      <c r="F83" s="3" t="s">
        <v>27</v>
      </c>
      <c r="G83" s="3" t="s">
        <v>32</v>
      </c>
      <c r="H83" s="3" t="s">
        <v>173</v>
      </c>
      <c r="I83" s="3">
        <v>2.0</v>
      </c>
      <c r="J83" s="3" t="s">
        <v>50</v>
      </c>
      <c r="K83" s="3" t="s">
        <v>95</v>
      </c>
      <c r="L83" s="7" t="s">
        <v>41</v>
      </c>
      <c r="M83" s="3" t="s">
        <v>124</v>
      </c>
      <c r="N83" s="3" t="s">
        <v>177</v>
      </c>
      <c r="O83" s="3" t="s">
        <v>23</v>
      </c>
      <c r="P83" s="3" t="s">
        <v>175</v>
      </c>
      <c r="Q83" s="3" t="s">
        <v>176</v>
      </c>
      <c r="R83" s="2"/>
      <c r="S83" s="2"/>
      <c r="T83" s="2"/>
      <c r="U83" s="2"/>
      <c r="V83" s="2"/>
      <c r="W83" s="2"/>
      <c r="X83" s="2"/>
      <c r="Y83" s="2"/>
    </row>
    <row r="84">
      <c r="A84" s="5" t="str">
        <f>IFERROR(__xludf.DUMMYFUNCTION("LEFT(A83, 4) &amp; TEXT(VALUE(REGEXEXTRACT(A83, ""\d+"")) + 1, ""0000"")"),"MAN-0082")</f>
        <v>MAN-0082</v>
      </c>
      <c r="B84" s="3" t="s">
        <v>18</v>
      </c>
      <c r="C84" s="3" t="s">
        <v>172</v>
      </c>
      <c r="D84" s="2" t="str">
        <f t="shared" si="1"/>
        <v>BUSCAR | F</v>
      </c>
      <c r="E84" s="3" t="s">
        <v>20</v>
      </c>
      <c r="F84" s="3" t="s">
        <v>28</v>
      </c>
      <c r="G84" s="3" t="s">
        <v>32</v>
      </c>
      <c r="H84" s="3" t="s">
        <v>173</v>
      </c>
      <c r="I84" s="3">
        <v>2.0</v>
      </c>
      <c r="J84" s="3" t="s">
        <v>50</v>
      </c>
      <c r="K84" s="3" t="s">
        <v>95</v>
      </c>
      <c r="L84" s="7" t="s">
        <v>178</v>
      </c>
      <c r="M84" s="3" t="s">
        <v>124</v>
      </c>
      <c r="N84" s="3" t="s">
        <v>179</v>
      </c>
      <c r="O84" s="3" t="s">
        <v>23</v>
      </c>
      <c r="P84" s="3" t="s">
        <v>175</v>
      </c>
      <c r="Q84" s="3" t="s">
        <v>176</v>
      </c>
      <c r="R84" s="2"/>
      <c r="S84" s="2"/>
      <c r="T84" s="2"/>
      <c r="U84" s="2"/>
      <c r="V84" s="2"/>
      <c r="W84" s="2"/>
      <c r="X84" s="2"/>
      <c r="Y84" s="2"/>
    </row>
    <row r="85">
      <c r="A85" s="5" t="str">
        <f>IFERROR(__xludf.DUMMYFUNCTION("LEFT(A84, 4) &amp; TEXT(VALUE(REGEXEXTRACT(A84, ""\d+"")) + 1, ""0000"")"),"MAN-0083")</f>
        <v>MAN-0083</v>
      </c>
      <c r="B85" s="3" t="s">
        <v>18</v>
      </c>
      <c r="C85" s="3" t="s">
        <v>172</v>
      </c>
      <c r="D85" s="2" t="str">
        <f t="shared" si="1"/>
        <v>BUSCAR | F</v>
      </c>
      <c r="E85" s="3" t="s">
        <v>20</v>
      </c>
      <c r="F85" s="3" t="s">
        <v>29</v>
      </c>
      <c r="G85" s="3" t="s">
        <v>32</v>
      </c>
      <c r="H85" s="3" t="s">
        <v>173</v>
      </c>
      <c r="I85" s="3">
        <v>2.0</v>
      </c>
      <c r="J85" s="3" t="s">
        <v>50</v>
      </c>
      <c r="K85" s="3" t="s">
        <v>95</v>
      </c>
      <c r="L85" s="7" t="s">
        <v>180</v>
      </c>
      <c r="M85" s="3" t="s">
        <v>124</v>
      </c>
      <c r="N85" s="3" t="s">
        <v>181</v>
      </c>
      <c r="O85" s="3" t="s">
        <v>23</v>
      </c>
      <c r="P85" s="3" t="s">
        <v>175</v>
      </c>
      <c r="Q85" s="3" t="s">
        <v>176</v>
      </c>
      <c r="R85" s="2"/>
      <c r="S85" s="2"/>
      <c r="T85" s="2"/>
      <c r="U85" s="2"/>
      <c r="V85" s="2"/>
      <c r="W85" s="2"/>
      <c r="X85" s="2"/>
      <c r="Y85" s="2"/>
    </row>
    <row r="86">
      <c r="A86" s="5" t="str">
        <f>IFERROR(__xludf.DUMMYFUNCTION("LEFT(A85, 4) &amp; TEXT(VALUE(REGEXEXTRACT(A85, ""\d+"")) + 1, ""0000"")"),"MAN-0084")</f>
        <v>MAN-0084</v>
      </c>
      <c r="B86" s="3" t="s">
        <v>18</v>
      </c>
      <c r="C86" s="3" t="s">
        <v>172</v>
      </c>
      <c r="D86" s="2" t="str">
        <f t="shared" si="1"/>
        <v>BUSCAR | F</v>
      </c>
      <c r="E86" s="3" t="s">
        <v>20</v>
      </c>
      <c r="F86" s="3" t="s">
        <v>30</v>
      </c>
      <c r="G86" s="3" t="s">
        <v>32</v>
      </c>
      <c r="H86" s="3" t="s">
        <v>173</v>
      </c>
      <c r="I86" s="3">
        <v>2.0</v>
      </c>
      <c r="J86" s="3" t="s">
        <v>23</v>
      </c>
      <c r="K86" s="3" t="s">
        <v>95</v>
      </c>
      <c r="L86" s="7" t="s">
        <v>182</v>
      </c>
      <c r="M86" s="3" t="s">
        <v>124</v>
      </c>
      <c r="N86" s="3" t="s">
        <v>183</v>
      </c>
      <c r="O86" s="3" t="s">
        <v>23</v>
      </c>
      <c r="P86" s="3" t="s">
        <v>175</v>
      </c>
      <c r="Q86" s="3" t="s">
        <v>176</v>
      </c>
      <c r="R86" s="2"/>
      <c r="S86" s="2"/>
      <c r="T86" s="2"/>
      <c r="U86" s="2"/>
      <c r="V86" s="2"/>
      <c r="W86" s="2"/>
      <c r="X86" s="2"/>
      <c r="Y86" s="2"/>
    </row>
    <row r="87">
      <c r="A87" s="5" t="str">
        <f>IFERROR(__xludf.DUMMYFUNCTION("LEFT(A86, 4) &amp; TEXT(VALUE(REGEXEXTRACT(A86, ""\d+"")) + 1, ""0000"")"),"MAN-0085")</f>
        <v>MAN-0085</v>
      </c>
      <c r="B87" s="3" t="s">
        <v>18</v>
      </c>
      <c r="C87" s="3" t="s">
        <v>184</v>
      </c>
      <c r="D87" s="2" t="str">
        <f t="shared" si="1"/>
        <v>MEDIR | F</v>
      </c>
      <c r="E87" s="3" t="s">
        <v>20</v>
      </c>
      <c r="F87" s="3" t="s">
        <v>21</v>
      </c>
      <c r="G87" s="3" t="s">
        <v>22</v>
      </c>
      <c r="H87" s="3" t="s">
        <v>33</v>
      </c>
      <c r="I87" s="3">
        <v>2.0</v>
      </c>
      <c r="J87" s="3" t="s">
        <v>23</v>
      </c>
      <c r="K87" s="3" t="s">
        <v>24</v>
      </c>
      <c r="L87" s="3" t="s">
        <v>185</v>
      </c>
      <c r="M87" s="3" t="s">
        <v>24</v>
      </c>
      <c r="N87" s="2"/>
      <c r="O87" s="3" t="s">
        <v>23</v>
      </c>
      <c r="P87" s="3" t="s">
        <v>186</v>
      </c>
      <c r="Q87" s="3" t="s">
        <v>187</v>
      </c>
      <c r="R87" s="2"/>
      <c r="S87" s="2"/>
      <c r="T87" s="2"/>
      <c r="U87" s="2"/>
      <c r="V87" s="2"/>
      <c r="W87" s="2"/>
      <c r="X87" s="2"/>
      <c r="Y87" s="2"/>
    </row>
    <row r="88">
      <c r="A88" s="5" t="str">
        <f>IFERROR(__xludf.DUMMYFUNCTION("LEFT(A87, 4) &amp; TEXT(VALUE(REGEXEXTRACT(A87, ""\d+"")) + 1, ""0000"")"),"MAN-0086")</f>
        <v>MAN-0086</v>
      </c>
      <c r="B88" s="3" t="s">
        <v>18</v>
      </c>
      <c r="C88" s="3" t="s">
        <v>184</v>
      </c>
      <c r="D88" s="2" t="str">
        <f t="shared" si="1"/>
        <v>MEDIR | F</v>
      </c>
      <c r="E88" s="3" t="s">
        <v>20</v>
      </c>
      <c r="F88" s="3" t="s">
        <v>27</v>
      </c>
      <c r="G88" s="3" t="s">
        <v>22</v>
      </c>
      <c r="H88" s="3" t="s">
        <v>33</v>
      </c>
      <c r="I88" s="3">
        <v>2.0</v>
      </c>
      <c r="J88" s="3" t="s">
        <v>23</v>
      </c>
      <c r="K88" s="3" t="s">
        <v>24</v>
      </c>
      <c r="L88" s="3" t="s">
        <v>185</v>
      </c>
      <c r="M88" s="3" t="s">
        <v>24</v>
      </c>
      <c r="N88" s="2"/>
      <c r="O88" s="3" t="s">
        <v>23</v>
      </c>
      <c r="P88" s="3" t="s">
        <v>186</v>
      </c>
      <c r="Q88" s="3" t="s">
        <v>188</v>
      </c>
      <c r="R88" s="2"/>
      <c r="S88" s="2"/>
      <c r="T88" s="2"/>
      <c r="U88" s="2"/>
      <c r="V88" s="2"/>
      <c r="W88" s="2"/>
      <c r="X88" s="2"/>
      <c r="Y88" s="2"/>
    </row>
    <row r="89">
      <c r="A89" s="5" t="str">
        <f>IFERROR(__xludf.DUMMYFUNCTION("LEFT(A88, 4) &amp; TEXT(VALUE(REGEXEXTRACT(A88, ""\d+"")) + 1, ""0000"")"),"MAN-0087")</f>
        <v>MAN-0087</v>
      </c>
      <c r="B89" s="3" t="s">
        <v>18</v>
      </c>
      <c r="C89" s="3" t="s">
        <v>184</v>
      </c>
      <c r="D89" s="2" t="str">
        <f t="shared" si="1"/>
        <v>MEDIR | F</v>
      </c>
      <c r="E89" s="3" t="s">
        <v>20</v>
      </c>
      <c r="F89" s="3" t="s">
        <v>28</v>
      </c>
      <c r="G89" s="3" t="s">
        <v>22</v>
      </c>
      <c r="H89" s="3" t="s">
        <v>33</v>
      </c>
      <c r="I89" s="3">
        <v>2.0</v>
      </c>
      <c r="J89" s="3" t="s">
        <v>23</v>
      </c>
      <c r="K89" s="3" t="s">
        <v>24</v>
      </c>
      <c r="L89" s="3" t="s">
        <v>185</v>
      </c>
      <c r="M89" s="3" t="s">
        <v>24</v>
      </c>
      <c r="N89" s="2"/>
      <c r="O89" s="3" t="s">
        <v>23</v>
      </c>
      <c r="P89" s="3" t="s">
        <v>186</v>
      </c>
      <c r="Q89" s="3" t="s">
        <v>189</v>
      </c>
      <c r="R89" s="2"/>
      <c r="S89" s="2"/>
      <c r="T89" s="2"/>
      <c r="U89" s="2"/>
      <c r="V89" s="2"/>
      <c r="W89" s="2"/>
      <c r="X89" s="2"/>
      <c r="Y89" s="2"/>
    </row>
    <row r="90">
      <c r="A90" s="5" t="str">
        <f>IFERROR(__xludf.DUMMYFUNCTION("LEFT(A89, 4) &amp; TEXT(VALUE(REGEXEXTRACT(A89, ""\d+"")) + 1, ""0000"")"),"MAN-0088")</f>
        <v>MAN-0088</v>
      </c>
      <c r="B90" s="3" t="s">
        <v>18</v>
      </c>
      <c r="C90" s="3" t="s">
        <v>184</v>
      </c>
      <c r="D90" s="2" t="str">
        <f t="shared" si="1"/>
        <v>MEDIR | F</v>
      </c>
      <c r="E90" s="3" t="s">
        <v>20</v>
      </c>
      <c r="F90" s="3" t="s">
        <v>29</v>
      </c>
      <c r="G90" s="3" t="s">
        <v>22</v>
      </c>
      <c r="H90" s="3" t="s">
        <v>33</v>
      </c>
      <c r="I90" s="3">
        <v>2.0</v>
      </c>
      <c r="J90" s="3" t="s">
        <v>23</v>
      </c>
      <c r="K90" s="3" t="s">
        <v>24</v>
      </c>
      <c r="L90" s="3" t="s">
        <v>185</v>
      </c>
      <c r="M90" s="3" t="s">
        <v>24</v>
      </c>
      <c r="N90" s="2"/>
      <c r="O90" s="3" t="s">
        <v>23</v>
      </c>
      <c r="P90" s="3" t="s">
        <v>186</v>
      </c>
      <c r="Q90" s="3" t="s">
        <v>190</v>
      </c>
      <c r="R90" s="2"/>
      <c r="S90" s="2"/>
      <c r="T90" s="2"/>
      <c r="U90" s="2"/>
      <c r="V90" s="2"/>
      <c r="W90" s="2"/>
      <c r="X90" s="2"/>
      <c r="Y90" s="2"/>
    </row>
    <row r="91">
      <c r="A91" s="5" t="str">
        <f>IFERROR(__xludf.DUMMYFUNCTION("LEFT(A90, 4) &amp; TEXT(VALUE(REGEXEXTRACT(A90, ""\d+"")) + 1, ""0000"")"),"MAN-0089")</f>
        <v>MAN-0089</v>
      </c>
      <c r="B91" s="3" t="s">
        <v>18</v>
      </c>
      <c r="C91" s="3" t="s">
        <v>184</v>
      </c>
      <c r="D91" s="2" t="str">
        <f t="shared" si="1"/>
        <v>MEDIR | F</v>
      </c>
      <c r="E91" s="3" t="s">
        <v>20</v>
      </c>
      <c r="F91" s="3" t="s">
        <v>30</v>
      </c>
      <c r="G91" s="3" t="s">
        <v>22</v>
      </c>
      <c r="H91" s="3" t="s">
        <v>33</v>
      </c>
      <c r="I91" s="3">
        <v>2.0</v>
      </c>
      <c r="J91" s="3" t="s">
        <v>23</v>
      </c>
      <c r="K91" s="3" t="s">
        <v>24</v>
      </c>
      <c r="L91" s="3" t="s">
        <v>185</v>
      </c>
      <c r="M91" s="3" t="s">
        <v>24</v>
      </c>
      <c r="N91" s="2"/>
      <c r="O91" s="3" t="s">
        <v>23</v>
      </c>
      <c r="P91" s="3" t="s">
        <v>186</v>
      </c>
      <c r="Q91" s="3" t="s">
        <v>191</v>
      </c>
      <c r="R91" s="2"/>
      <c r="S91" s="2"/>
      <c r="T91" s="2"/>
      <c r="U91" s="2"/>
      <c r="V91" s="2"/>
      <c r="W91" s="2"/>
      <c r="X91" s="2"/>
      <c r="Y91" s="2"/>
    </row>
    <row r="92">
      <c r="A92" s="5" t="str">
        <f>IFERROR(__xludf.DUMMYFUNCTION("LEFT(A91, 4) &amp; TEXT(VALUE(REGEXEXTRACT(A91, ""\d+"")) + 1, ""0000"")"),"MAN-0090")</f>
        <v>MAN-0090</v>
      </c>
      <c r="B92" s="3" t="s">
        <v>18</v>
      </c>
      <c r="C92" s="3" t="s">
        <v>192</v>
      </c>
      <c r="D92" s="2" t="str">
        <f t="shared" si="1"/>
        <v>ENCONTRAR CAMINHO | F</v>
      </c>
      <c r="E92" s="3" t="s">
        <v>20</v>
      </c>
      <c r="F92" s="3" t="s">
        <v>21</v>
      </c>
      <c r="G92" s="3" t="s">
        <v>22</v>
      </c>
      <c r="H92" s="3" t="s">
        <v>33</v>
      </c>
      <c r="I92" s="3">
        <v>2.0</v>
      </c>
      <c r="J92" s="3" t="s">
        <v>23</v>
      </c>
      <c r="K92" s="3" t="s">
        <v>24</v>
      </c>
      <c r="L92" s="3" t="s">
        <v>24</v>
      </c>
      <c r="M92" s="3" t="s">
        <v>24</v>
      </c>
      <c r="N92" s="3" t="s">
        <v>174</v>
      </c>
      <c r="O92" s="3" t="s">
        <v>23</v>
      </c>
      <c r="P92" s="3" t="s">
        <v>193</v>
      </c>
      <c r="Q92" s="2"/>
      <c r="R92" s="2"/>
      <c r="S92" s="2"/>
      <c r="T92" s="2"/>
      <c r="U92" s="2"/>
      <c r="V92" s="2"/>
      <c r="W92" s="2"/>
      <c r="X92" s="2"/>
      <c r="Y92" s="2"/>
    </row>
    <row r="93">
      <c r="A93" s="5" t="str">
        <f>IFERROR(__xludf.DUMMYFUNCTION("LEFT(A92, 4) &amp; TEXT(VALUE(REGEXEXTRACT(A92, ""\d+"")) + 1, ""0000"")"),"MAN-0091")</f>
        <v>MAN-0091</v>
      </c>
      <c r="B93" s="3" t="s">
        <v>18</v>
      </c>
      <c r="C93" s="3" t="s">
        <v>192</v>
      </c>
      <c r="D93" s="2" t="str">
        <f t="shared" si="1"/>
        <v>ENCONTRAR CAMINHO | F</v>
      </c>
      <c r="E93" s="3" t="s">
        <v>20</v>
      </c>
      <c r="F93" s="3" t="s">
        <v>27</v>
      </c>
      <c r="G93" s="3" t="s">
        <v>22</v>
      </c>
      <c r="H93" s="3" t="s">
        <v>33</v>
      </c>
      <c r="I93" s="3">
        <v>2.0</v>
      </c>
      <c r="J93" s="3" t="s">
        <v>23</v>
      </c>
      <c r="K93" s="3" t="s">
        <v>24</v>
      </c>
      <c r="L93" s="3" t="s">
        <v>24</v>
      </c>
      <c r="M93" s="3" t="s">
        <v>24</v>
      </c>
      <c r="N93" s="3" t="s">
        <v>177</v>
      </c>
      <c r="O93" s="3" t="s">
        <v>23</v>
      </c>
      <c r="P93" s="3" t="s">
        <v>193</v>
      </c>
      <c r="Q93" s="2"/>
      <c r="R93" s="2"/>
      <c r="S93" s="2"/>
      <c r="T93" s="2"/>
      <c r="U93" s="2"/>
      <c r="V93" s="2"/>
      <c r="W93" s="2"/>
      <c r="X93" s="2"/>
      <c r="Y93" s="2"/>
    </row>
    <row r="94">
      <c r="A94" s="5" t="str">
        <f>IFERROR(__xludf.DUMMYFUNCTION("LEFT(A93, 4) &amp; TEXT(VALUE(REGEXEXTRACT(A93, ""\d+"")) + 1, ""0000"")"),"MAN-0092")</f>
        <v>MAN-0092</v>
      </c>
      <c r="B94" s="3" t="s">
        <v>18</v>
      </c>
      <c r="C94" s="3" t="s">
        <v>192</v>
      </c>
      <c r="D94" s="2" t="str">
        <f t="shared" si="1"/>
        <v>ENCONTRAR CAMINHO | F</v>
      </c>
      <c r="E94" s="3" t="s">
        <v>20</v>
      </c>
      <c r="F94" s="3" t="s">
        <v>28</v>
      </c>
      <c r="G94" s="3" t="s">
        <v>22</v>
      </c>
      <c r="H94" s="3" t="s">
        <v>33</v>
      </c>
      <c r="I94" s="3">
        <v>2.0</v>
      </c>
      <c r="J94" s="3" t="s">
        <v>23</v>
      </c>
      <c r="K94" s="3" t="s">
        <v>24</v>
      </c>
      <c r="L94" s="3" t="s">
        <v>24</v>
      </c>
      <c r="M94" s="3" t="s">
        <v>24</v>
      </c>
      <c r="N94" s="3" t="s">
        <v>179</v>
      </c>
      <c r="O94" s="3" t="s">
        <v>23</v>
      </c>
      <c r="P94" s="3" t="s">
        <v>193</v>
      </c>
      <c r="Q94" s="2"/>
      <c r="R94" s="2"/>
      <c r="S94" s="2"/>
      <c r="T94" s="2"/>
      <c r="U94" s="2"/>
      <c r="V94" s="2"/>
      <c r="W94" s="2"/>
      <c r="X94" s="2"/>
      <c r="Y94" s="2"/>
    </row>
    <row r="95">
      <c r="A95" s="5" t="str">
        <f>IFERROR(__xludf.DUMMYFUNCTION("LEFT(A94, 4) &amp; TEXT(VALUE(REGEXEXTRACT(A94, ""\d+"")) + 1, ""0000"")"),"MAN-0093")</f>
        <v>MAN-0093</v>
      </c>
      <c r="B95" s="3" t="s">
        <v>18</v>
      </c>
      <c r="C95" s="3" t="s">
        <v>192</v>
      </c>
      <c r="D95" s="2" t="str">
        <f t="shared" si="1"/>
        <v>ENCONTRAR CAMINHO | F</v>
      </c>
      <c r="E95" s="3" t="s">
        <v>20</v>
      </c>
      <c r="F95" s="3" t="s">
        <v>29</v>
      </c>
      <c r="G95" s="3" t="s">
        <v>22</v>
      </c>
      <c r="H95" s="3" t="s">
        <v>33</v>
      </c>
      <c r="I95" s="3">
        <v>2.0</v>
      </c>
      <c r="J95" s="3" t="s">
        <v>23</v>
      </c>
      <c r="K95" s="3" t="s">
        <v>24</v>
      </c>
      <c r="L95" s="3" t="s">
        <v>24</v>
      </c>
      <c r="M95" s="3" t="s">
        <v>24</v>
      </c>
      <c r="N95" s="3" t="s">
        <v>181</v>
      </c>
      <c r="O95" s="3" t="s">
        <v>23</v>
      </c>
      <c r="P95" s="3" t="s">
        <v>193</v>
      </c>
      <c r="Q95" s="2"/>
      <c r="R95" s="2"/>
      <c r="S95" s="2"/>
      <c r="T95" s="2"/>
      <c r="U95" s="2"/>
      <c r="V95" s="2"/>
      <c r="W95" s="2"/>
      <c r="X95" s="2"/>
      <c r="Y95" s="2"/>
    </row>
    <row r="96">
      <c r="A96" s="5" t="str">
        <f>IFERROR(__xludf.DUMMYFUNCTION("LEFT(A95, 4) &amp; TEXT(VALUE(REGEXEXTRACT(A95, ""\d+"")) + 1, ""0000"")"),"MAN-0094")</f>
        <v>MAN-0094</v>
      </c>
      <c r="B96" s="3" t="s">
        <v>18</v>
      </c>
      <c r="C96" s="3" t="s">
        <v>192</v>
      </c>
      <c r="D96" s="2" t="str">
        <f t="shared" si="1"/>
        <v>ENCONTRAR CAMINHO | F</v>
      </c>
      <c r="E96" s="3" t="s">
        <v>20</v>
      </c>
      <c r="F96" s="3" t="s">
        <v>30</v>
      </c>
      <c r="G96" s="3" t="s">
        <v>22</v>
      </c>
      <c r="H96" s="3" t="s">
        <v>33</v>
      </c>
      <c r="I96" s="3">
        <v>2.0</v>
      </c>
      <c r="J96" s="3" t="s">
        <v>23</v>
      </c>
      <c r="K96" s="3" t="s">
        <v>24</v>
      </c>
      <c r="L96" s="3" t="s">
        <v>24</v>
      </c>
      <c r="M96" s="3" t="s">
        <v>24</v>
      </c>
      <c r="N96" s="3" t="s">
        <v>183</v>
      </c>
      <c r="O96" s="3" t="s">
        <v>23</v>
      </c>
      <c r="P96" s="3" t="s">
        <v>193</v>
      </c>
      <c r="Q96" s="2"/>
      <c r="R96" s="2"/>
      <c r="S96" s="2"/>
      <c r="T96" s="2"/>
      <c r="U96" s="2"/>
      <c r="V96" s="2"/>
      <c r="W96" s="2"/>
      <c r="X96" s="2"/>
      <c r="Y96" s="2"/>
    </row>
    <row r="97">
      <c r="A97" s="5" t="str">
        <f>IFERROR(__xludf.DUMMYFUNCTION("LEFT(A96, 4) &amp; TEXT(VALUE(REGEXEXTRACT(A96, ""\d+"")) + 1, ""0000"")"),"MAN-0095")</f>
        <v>MAN-0095</v>
      </c>
      <c r="B97" s="3" t="s">
        <v>18</v>
      </c>
      <c r="C97" s="3" t="s">
        <v>194</v>
      </c>
      <c r="D97" s="2" t="str">
        <f t="shared" si="1"/>
        <v>MOSTRAR HISTÓRIA | D</v>
      </c>
      <c r="E97" s="3" t="s">
        <v>76</v>
      </c>
      <c r="F97" s="3" t="s">
        <v>21</v>
      </c>
      <c r="G97" s="3" t="s">
        <v>22</v>
      </c>
      <c r="H97" s="3" t="s">
        <v>33</v>
      </c>
      <c r="I97" s="3">
        <v>8.0</v>
      </c>
      <c r="J97" s="3" t="s">
        <v>50</v>
      </c>
      <c r="K97" s="3" t="s">
        <v>95</v>
      </c>
      <c r="L97" s="3" t="s">
        <v>195</v>
      </c>
      <c r="M97" s="3" t="s">
        <v>24</v>
      </c>
      <c r="N97" s="3" t="s">
        <v>196</v>
      </c>
      <c r="O97" s="3" t="s">
        <v>197</v>
      </c>
      <c r="P97" s="3" t="s">
        <v>198</v>
      </c>
      <c r="Q97" s="2"/>
      <c r="R97" s="2"/>
      <c r="S97" s="2"/>
      <c r="T97" s="2"/>
      <c r="U97" s="2"/>
      <c r="V97" s="2"/>
      <c r="W97" s="2"/>
      <c r="X97" s="2"/>
      <c r="Y97" s="2"/>
    </row>
    <row r="98">
      <c r="A98" s="5" t="str">
        <f>IFERROR(__xludf.DUMMYFUNCTION("LEFT(A97, 4) &amp; TEXT(VALUE(REGEXEXTRACT(A97, ""\d+"")) + 1, ""0000"")"),"MAN-0096")</f>
        <v>MAN-0096</v>
      </c>
      <c r="B98" s="3" t="s">
        <v>18</v>
      </c>
      <c r="C98" s="3" t="s">
        <v>194</v>
      </c>
      <c r="D98" s="2" t="str">
        <f t="shared" si="1"/>
        <v>MOSTRAR HISTÓRIA | D</v>
      </c>
      <c r="E98" s="3" t="s">
        <v>76</v>
      </c>
      <c r="F98" s="3" t="s">
        <v>27</v>
      </c>
      <c r="G98" s="3" t="s">
        <v>22</v>
      </c>
      <c r="H98" s="3" t="s">
        <v>33</v>
      </c>
      <c r="I98" s="3">
        <v>8.0</v>
      </c>
      <c r="J98" s="3" t="s">
        <v>50</v>
      </c>
      <c r="K98" s="3" t="s">
        <v>95</v>
      </c>
      <c r="L98" s="3" t="s">
        <v>195</v>
      </c>
      <c r="M98" s="3" t="s">
        <v>24</v>
      </c>
      <c r="N98" s="3" t="s">
        <v>199</v>
      </c>
      <c r="O98" s="3" t="s">
        <v>197</v>
      </c>
      <c r="P98" s="3" t="s">
        <v>198</v>
      </c>
      <c r="Q98" s="2"/>
      <c r="R98" s="2"/>
      <c r="S98" s="2"/>
      <c r="T98" s="2"/>
      <c r="U98" s="2"/>
      <c r="V98" s="2"/>
      <c r="W98" s="2"/>
      <c r="X98" s="2"/>
      <c r="Y98" s="2"/>
    </row>
    <row r="99">
      <c r="A99" s="5" t="str">
        <f>IFERROR(__xludf.DUMMYFUNCTION("LEFT(A98, 4) &amp; TEXT(VALUE(REGEXEXTRACT(A98, ""\d+"")) + 1, ""0000"")"),"MAN-0097")</f>
        <v>MAN-0097</v>
      </c>
      <c r="B99" s="3" t="s">
        <v>18</v>
      </c>
      <c r="C99" s="3" t="s">
        <v>194</v>
      </c>
      <c r="D99" s="2" t="str">
        <f t="shared" si="1"/>
        <v>MOSTRAR HISTÓRIA | D</v>
      </c>
      <c r="E99" s="3" t="s">
        <v>76</v>
      </c>
      <c r="F99" s="3" t="s">
        <v>28</v>
      </c>
      <c r="G99" s="3" t="s">
        <v>22</v>
      </c>
      <c r="H99" s="3" t="s">
        <v>33</v>
      </c>
      <c r="I99" s="3">
        <v>8.0</v>
      </c>
      <c r="J99" s="3" t="s">
        <v>50</v>
      </c>
      <c r="K99" s="3" t="s">
        <v>95</v>
      </c>
      <c r="L99" s="3" t="s">
        <v>195</v>
      </c>
      <c r="M99" s="3" t="s">
        <v>24</v>
      </c>
      <c r="N99" s="3" t="s">
        <v>200</v>
      </c>
      <c r="O99" s="3" t="s">
        <v>197</v>
      </c>
      <c r="P99" s="3" t="s">
        <v>198</v>
      </c>
      <c r="Q99" s="2"/>
      <c r="R99" s="2"/>
      <c r="S99" s="2"/>
      <c r="T99" s="2"/>
      <c r="U99" s="2"/>
      <c r="V99" s="2"/>
      <c r="W99" s="2"/>
      <c r="X99" s="2"/>
      <c r="Y99" s="2"/>
    </row>
    <row r="100">
      <c r="A100" s="5" t="str">
        <f>IFERROR(__xludf.DUMMYFUNCTION("LEFT(A99, 4) &amp; TEXT(VALUE(REGEXEXTRACT(A99, ""\d+"")) + 1, ""0000"")"),"MAN-0098")</f>
        <v>MAN-0098</v>
      </c>
      <c r="B100" s="3" t="s">
        <v>18</v>
      </c>
      <c r="C100" s="3" t="s">
        <v>194</v>
      </c>
      <c r="D100" s="2" t="str">
        <f t="shared" si="1"/>
        <v>MOSTRAR HISTÓRIA | D</v>
      </c>
      <c r="E100" s="3" t="s">
        <v>76</v>
      </c>
      <c r="F100" s="3" t="s">
        <v>29</v>
      </c>
      <c r="G100" s="3" t="s">
        <v>22</v>
      </c>
      <c r="H100" s="3" t="s">
        <v>33</v>
      </c>
      <c r="I100" s="3">
        <v>8.0</v>
      </c>
      <c r="J100" s="3" t="s">
        <v>50</v>
      </c>
      <c r="K100" s="3" t="s">
        <v>95</v>
      </c>
      <c r="L100" s="3" t="s">
        <v>195</v>
      </c>
      <c r="M100" s="3" t="s">
        <v>24</v>
      </c>
      <c r="N100" s="3" t="s">
        <v>201</v>
      </c>
      <c r="O100" s="3" t="s">
        <v>197</v>
      </c>
      <c r="P100" s="3" t="s">
        <v>198</v>
      </c>
      <c r="Q100" s="2"/>
      <c r="R100" s="2"/>
      <c r="S100" s="2"/>
      <c r="T100" s="2"/>
      <c r="U100" s="2"/>
      <c r="V100" s="2"/>
      <c r="W100" s="2"/>
      <c r="X100" s="2"/>
      <c r="Y100" s="2"/>
    </row>
    <row r="101">
      <c r="A101" s="5" t="str">
        <f>IFERROR(__xludf.DUMMYFUNCTION("LEFT(A100, 4) &amp; TEXT(VALUE(REGEXEXTRACT(A100, ""\d+"")) + 1, ""0000"")"),"MAN-0099")</f>
        <v>MAN-0099</v>
      </c>
      <c r="B101" s="3" t="s">
        <v>18</v>
      </c>
      <c r="C101" s="3" t="s">
        <v>194</v>
      </c>
      <c r="D101" s="2" t="str">
        <f t="shared" si="1"/>
        <v>MOSTRAR HISTÓRIA | D</v>
      </c>
      <c r="E101" s="3" t="s">
        <v>76</v>
      </c>
      <c r="F101" s="3" t="s">
        <v>30</v>
      </c>
      <c r="G101" s="3" t="s">
        <v>22</v>
      </c>
      <c r="H101" s="3" t="s">
        <v>33</v>
      </c>
      <c r="I101" s="3">
        <v>8.0</v>
      </c>
      <c r="J101" s="3" t="s">
        <v>23</v>
      </c>
      <c r="K101" s="3" t="s">
        <v>95</v>
      </c>
      <c r="L101" s="3" t="s">
        <v>195</v>
      </c>
      <c r="M101" s="3" t="s">
        <v>24</v>
      </c>
      <c r="N101" s="3" t="s">
        <v>202</v>
      </c>
      <c r="O101" s="3" t="s">
        <v>197</v>
      </c>
      <c r="P101" s="3" t="s">
        <v>198</v>
      </c>
      <c r="Q101" s="2"/>
      <c r="R101" s="2"/>
      <c r="S101" s="2"/>
      <c r="T101" s="2"/>
      <c r="U101" s="2"/>
      <c r="V101" s="2"/>
      <c r="W101" s="2"/>
      <c r="X101" s="2"/>
      <c r="Y101" s="2"/>
    </row>
    <row r="102">
      <c r="A102" s="5" t="str">
        <f>IFERROR(__xludf.DUMMYFUNCTION("LEFT(A101, 4) &amp; TEXT(VALUE(REGEXEXTRACT(A101, ""\d+"")) + 1, ""0000"")"),"MAN-0100")</f>
        <v>MAN-0100</v>
      </c>
      <c r="B102" s="3" t="s">
        <v>18</v>
      </c>
      <c r="C102" s="3" t="s">
        <v>203</v>
      </c>
      <c r="D102" s="2" t="str">
        <f t="shared" si="1"/>
        <v>ABSORVER IDIOMA | MD</v>
      </c>
      <c r="E102" s="3" t="s">
        <v>94</v>
      </c>
      <c r="F102" s="3" t="s">
        <v>21</v>
      </c>
      <c r="G102" s="3" t="s">
        <v>22</v>
      </c>
      <c r="H102" s="3" t="s">
        <v>33</v>
      </c>
      <c r="I102" s="3">
        <v>16.0</v>
      </c>
      <c r="J102" s="3" t="s">
        <v>50</v>
      </c>
      <c r="K102" s="3" t="s">
        <v>95</v>
      </c>
      <c r="L102" s="3" t="s">
        <v>195</v>
      </c>
      <c r="M102" s="3" t="s">
        <v>24</v>
      </c>
      <c r="N102" s="3" t="s">
        <v>204</v>
      </c>
      <c r="O102" s="3" t="s">
        <v>55</v>
      </c>
      <c r="P102" s="3" t="s">
        <v>205</v>
      </c>
      <c r="Q102" s="2"/>
      <c r="R102" s="2"/>
      <c r="S102" s="2"/>
      <c r="T102" s="2"/>
      <c r="U102" s="2"/>
      <c r="V102" s="2"/>
      <c r="W102" s="2"/>
      <c r="X102" s="2"/>
      <c r="Y102" s="2"/>
    </row>
    <row r="103">
      <c r="A103" s="5" t="str">
        <f>IFERROR(__xludf.DUMMYFUNCTION("LEFT(A102, 4) &amp; TEXT(VALUE(REGEXEXTRACT(A102, ""\d+"")) + 1, ""0000"")"),"MAN-0101")</f>
        <v>MAN-0101</v>
      </c>
      <c r="B103" s="3" t="s">
        <v>18</v>
      </c>
      <c r="C103" s="3" t="s">
        <v>203</v>
      </c>
      <c r="D103" s="2" t="str">
        <f t="shared" si="1"/>
        <v>ABSORVER IDIOMA | MD</v>
      </c>
      <c r="E103" s="3" t="s">
        <v>94</v>
      </c>
      <c r="F103" s="3" t="s">
        <v>27</v>
      </c>
      <c r="G103" s="3" t="s">
        <v>22</v>
      </c>
      <c r="H103" s="3" t="s">
        <v>33</v>
      </c>
      <c r="I103" s="3">
        <v>16.0</v>
      </c>
      <c r="J103" s="3" t="s">
        <v>50</v>
      </c>
      <c r="K103" s="3" t="s">
        <v>95</v>
      </c>
      <c r="L103" s="3" t="s">
        <v>195</v>
      </c>
      <c r="M103" s="3" t="s">
        <v>24</v>
      </c>
      <c r="N103" s="3" t="s">
        <v>206</v>
      </c>
      <c r="O103" s="3" t="s">
        <v>207</v>
      </c>
      <c r="P103" s="3" t="s">
        <v>205</v>
      </c>
      <c r="Q103" s="2"/>
      <c r="R103" s="2"/>
      <c r="S103" s="2"/>
      <c r="T103" s="2"/>
      <c r="U103" s="2"/>
      <c r="V103" s="2"/>
      <c r="W103" s="2"/>
      <c r="X103" s="2"/>
      <c r="Y103" s="2"/>
    </row>
    <row r="104">
      <c r="A104" s="5" t="str">
        <f>IFERROR(__xludf.DUMMYFUNCTION("LEFT(A103, 4) &amp; TEXT(VALUE(REGEXEXTRACT(A103, ""\d+"")) + 1, ""0000"")"),"MAN-0102")</f>
        <v>MAN-0102</v>
      </c>
      <c r="B104" s="3" t="s">
        <v>18</v>
      </c>
      <c r="C104" s="3" t="s">
        <v>203</v>
      </c>
      <c r="D104" s="2" t="str">
        <f t="shared" si="1"/>
        <v>ABSORVER IDIOMA | MD</v>
      </c>
      <c r="E104" s="3" t="s">
        <v>94</v>
      </c>
      <c r="F104" s="3" t="s">
        <v>28</v>
      </c>
      <c r="G104" s="3" t="s">
        <v>22</v>
      </c>
      <c r="H104" s="3" t="s">
        <v>33</v>
      </c>
      <c r="I104" s="3">
        <v>16.0</v>
      </c>
      <c r="J104" s="3" t="s">
        <v>50</v>
      </c>
      <c r="K104" s="3" t="s">
        <v>95</v>
      </c>
      <c r="L104" s="3" t="s">
        <v>195</v>
      </c>
      <c r="M104" s="3" t="s">
        <v>24</v>
      </c>
      <c r="N104" s="3" t="s">
        <v>208</v>
      </c>
      <c r="O104" s="3" t="s">
        <v>209</v>
      </c>
      <c r="P104" s="3" t="s">
        <v>205</v>
      </c>
      <c r="Q104" s="2"/>
      <c r="R104" s="2"/>
      <c r="S104" s="2"/>
      <c r="T104" s="2"/>
      <c r="U104" s="2"/>
      <c r="V104" s="2"/>
      <c r="W104" s="2"/>
      <c r="X104" s="2"/>
      <c r="Y104" s="2"/>
    </row>
    <row r="105">
      <c r="A105" s="5" t="str">
        <f>IFERROR(__xludf.DUMMYFUNCTION("LEFT(A104, 4) &amp; TEXT(VALUE(REGEXEXTRACT(A104, ""\d+"")) + 1, ""0000"")"),"MAN-0103")</f>
        <v>MAN-0103</v>
      </c>
      <c r="B105" s="3" t="s">
        <v>18</v>
      </c>
      <c r="C105" s="3" t="s">
        <v>203</v>
      </c>
      <c r="D105" s="2" t="str">
        <f t="shared" si="1"/>
        <v>ABSORVER IDIOMA | MD</v>
      </c>
      <c r="E105" s="3" t="s">
        <v>94</v>
      </c>
      <c r="F105" s="3" t="s">
        <v>29</v>
      </c>
      <c r="G105" s="3" t="s">
        <v>22</v>
      </c>
      <c r="H105" s="3" t="s">
        <v>33</v>
      </c>
      <c r="I105" s="3">
        <v>16.0</v>
      </c>
      <c r="J105" s="3" t="s">
        <v>50</v>
      </c>
      <c r="K105" s="3" t="s">
        <v>95</v>
      </c>
      <c r="L105" s="3" t="s">
        <v>195</v>
      </c>
      <c r="M105" s="3" t="s">
        <v>24</v>
      </c>
      <c r="N105" s="3" t="s">
        <v>210</v>
      </c>
      <c r="O105" s="3" t="s">
        <v>211</v>
      </c>
      <c r="P105" s="3" t="s">
        <v>205</v>
      </c>
      <c r="Q105" s="2"/>
      <c r="R105" s="2"/>
      <c r="S105" s="2"/>
      <c r="T105" s="2"/>
      <c r="U105" s="2"/>
      <c r="V105" s="2"/>
      <c r="W105" s="2"/>
      <c r="X105" s="2"/>
      <c r="Y105" s="2"/>
    </row>
    <row r="106">
      <c r="A106" s="5" t="str">
        <f>IFERROR(__xludf.DUMMYFUNCTION("LEFT(A105, 4) &amp; TEXT(VALUE(REGEXEXTRACT(A105, ""\d+"")) + 1, ""0000"")"),"MAN-0104")</f>
        <v>MAN-0104</v>
      </c>
      <c r="B106" s="3" t="s">
        <v>18</v>
      </c>
      <c r="C106" s="3" t="s">
        <v>203</v>
      </c>
      <c r="D106" s="2" t="str">
        <f t="shared" si="1"/>
        <v>ABSORVER IDIOMA | MD</v>
      </c>
      <c r="E106" s="3" t="s">
        <v>94</v>
      </c>
      <c r="F106" s="3" t="s">
        <v>30</v>
      </c>
      <c r="G106" s="3" t="s">
        <v>22</v>
      </c>
      <c r="H106" s="3" t="s">
        <v>33</v>
      </c>
      <c r="I106" s="3">
        <v>16.0</v>
      </c>
      <c r="J106" s="3" t="s">
        <v>23</v>
      </c>
      <c r="K106" s="3" t="s">
        <v>95</v>
      </c>
      <c r="L106" s="3" t="s">
        <v>195</v>
      </c>
      <c r="M106" s="3" t="s">
        <v>24</v>
      </c>
      <c r="N106" s="3" t="s">
        <v>212</v>
      </c>
      <c r="O106" s="3" t="s">
        <v>52</v>
      </c>
      <c r="P106" s="3" t="s">
        <v>205</v>
      </c>
      <c r="Q106" s="2"/>
      <c r="R106" s="2"/>
      <c r="S106" s="2"/>
      <c r="T106" s="2"/>
      <c r="U106" s="2"/>
      <c r="V106" s="2"/>
      <c r="W106" s="2"/>
      <c r="X106" s="2"/>
      <c r="Y106" s="2"/>
    </row>
    <row r="107">
      <c r="A107" s="5" t="str">
        <f>IFERROR(__xludf.DUMMYFUNCTION("LEFT(A106, 4) &amp; TEXT(VALUE(REGEXEXTRACT(A106, ""\d+"")) + 1, ""0000"")"),"MAN-0105")</f>
        <v>MAN-0105</v>
      </c>
      <c r="B107" s="3" t="s">
        <v>18</v>
      </c>
      <c r="C107" s="3" t="s">
        <v>213</v>
      </c>
      <c r="D107" s="2" t="str">
        <f t="shared" si="1"/>
        <v>BOCA MÁGICA | M</v>
      </c>
      <c r="E107" s="3" t="s">
        <v>48</v>
      </c>
      <c r="F107" s="3" t="s">
        <v>21</v>
      </c>
      <c r="G107" s="3" t="s">
        <v>214</v>
      </c>
      <c r="H107" s="3" t="s">
        <v>33</v>
      </c>
      <c r="I107" s="3">
        <v>2.0</v>
      </c>
      <c r="J107" s="3" t="s">
        <v>23</v>
      </c>
      <c r="K107" s="3" t="s">
        <v>34</v>
      </c>
      <c r="L107" s="6" t="s">
        <v>65</v>
      </c>
      <c r="M107" s="3" t="s">
        <v>66</v>
      </c>
      <c r="N107" s="3" t="s">
        <v>125</v>
      </c>
      <c r="O107" s="3" t="s">
        <v>126</v>
      </c>
      <c r="P107" s="3" t="s">
        <v>215</v>
      </c>
      <c r="Q107" s="3" t="s">
        <v>216</v>
      </c>
      <c r="R107" s="2"/>
      <c r="S107" s="2"/>
      <c r="T107" s="2"/>
      <c r="U107" s="2"/>
      <c r="V107" s="2"/>
      <c r="W107" s="2"/>
      <c r="X107" s="2"/>
      <c r="Y107" s="2"/>
    </row>
    <row r="108">
      <c r="A108" s="5" t="str">
        <f>IFERROR(__xludf.DUMMYFUNCTION("LEFT(A107, 4) &amp; TEXT(VALUE(REGEXEXTRACT(A107, ""\d+"")) + 1, ""0000"")"),"MAN-0106")</f>
        <v>MAN-0106</v>
      </c>
      <c r="B108" s="3" t="s">
        <v>18</v>
      </c>
      <c r="C108" s="3" t="s">
        <v>213</v>
      </c>
      <c r="D108" s="2" t="str">
        <f t="shared" si="1"/>
        <v>BOCA MÁGICA | M</v>
      </c>
      <c r="E108" s="3" t="s">
        <v>48</v>
      </c>
      <c r="F108" s="3" t="s">
        <v>27</v>
      </c>
      <c r="G108" s="3" t="s">
        <v>214</v>
      </c>
      <c r="H108" s="3" t="s">
        <v>33</v>
      </c>
      <c r="I108" s="3">
        <v>2.0</v>
      </c>
      <c r="J108" s="3" t="s">
        <v>23</v>
      </c>
      <c r="K108" s="3" t="s">
        <v>34</v>
      </c>
      <c r="L108" s="6" t="s">
        <v>35</v>
      </c>
      <c r="M108" s="3" t="s">
        <v>66</v>
      </c>
      <c r="N108" s="3" t="s">
        <v>128</v>
      </c>
      <c r="O108" s="3" t="s">
        <v>126</v>
      </c>
      <c r="P108" s="3" t="s">
        <v>215</v>
      </c>
      <c r="Q108" s="3" t="s">
        <v>216</v>
      </c>
      <c r="R108" s="2"/>
      <c r="S108" s="2"/>
      <c r="T108" s="2"/>
      <c r="U108" s="2"/>
      <c r="V108" s="2"/>
      <c r="W108" s="2"/>
      <c r="X108" s="2"/>
      <c r="Y108" s="2"/>
    </row>
    <row r="109">
      <c r="A109" s="5" t="str">
        <f>IFERROR(__xludf.DUMMYFUNCTION("LEFT(A108, 4) &amp; TEXT(VALUE(REGEXEXTRACT(A108, ""\d+"")) + 1, ""0000"")"),"MAN-0107")</f>
        <v>MAN-0107</v>
      </c>
      <c r="B109" s="3" t="s">
        <v>18</v>
      </c>
      <c r="C109" s="3" t="s">
        <v>213</v>
      </c>
      <c r="D109" s="2" t="str">
        <f t="shared" si="1"/>
        <v>BOCA MÁGICA | M</v>
      </c>
      <c r="E109" s="3" t="s">
        <v>48</v>
      </c>
      <c r="F109" s="3" t="s">
        <v>28</v>
      </c>
      <c r="G109" s="3" t="s">
        <v>214</v>
      </c>
      <c r="H109" s="3" t="s">
        <v>33</v>
      </c>
      <c r="I109" s="3">
        <v>2.0</v>
      </c>
      <c r="J109" s="3" t="s">
        <v>23</v>
      </c>
      <c r="K109" s="3" t="s">
        <v>34</v>
      </c>
      <c r="L109" s="6" t="s">
        <v>70</v>
      </c>
      <c r="M109" s="3" t="s">
        <v>66</v>
      </c>
      <c r="N109" s="3" t="s">
        <v>130</v>
      </c>
      <c r="O109" s="3" t="s">
        <v>131</v>
      </c>
      <c r="P109" s="3" t="s">
        <v>215</v>
      </c>
      <c r="Q109" s="3" t="s">
        <v>216</v>
      </c>
      <c r="R109" s="2"/>
      <c r="S109" s="2"/>
      <c r="T109" s="2"/>
      <c r="U109" s="2"/>
      <c r="V109" s="2"/>
      <c r="W109" s="2"/>
      <c r="X109" s="2"/>
      <c r="Y109" s="2"/>
    </row>
    <row r="110">
      <c r="A110" s="5" t="str">
        <f>IFERROR(__xludf.DUMMYFUNCTION("LEFT(A109, 4) &amp; TEXT(VALUE(REGEXEXTRACT(A109, ""\d+"")) + 1, ""0000"")"),"MAN-0108")</f>
        <v>MAN-0108</v>
      </c>
      <c r="B110" s="3" t="s">
        <v>18</v>
      </c>
      <c r="C110" s="3" t="s">
        <v>213</v>
      </c>
      <c r="D110" s="2" t="str">
        <f t="shared" si="1"/>
        <v>BOCA MÁGICA | M</v>
      </c>
      <c r="E110" s="3" t="s">
        <v>48</v>
      </c>
      <c r="F110" s="3" t="s">
        <v>29</v>
      </c>
      <c r="G110" s="3" t="s">
        <v>214</v>
      </c>
      <c r="H110" s="3" t="s">
        <v>33</v>
      </c>
      <c r="I110" s="3">
        <v>2.0</v>
      </c>
      <c r="J110" s="3" t="s">
        <v>23</v>
      </c>
      <c r="K110" s="3" t="s">
        <v>34</v>
      </c>
      <c r="L110" s="6" t="s">
        <v>72</v>
      </c>
      <c r="M110" s="3" t="s">
        <v>66</v>
      </c>
      <c r="N110" s="3" t="s">
        <v>133</v>
      </c>
      <c r="O110" s="3" t="s">
        <v>131</v>
      </c>
      <c r="P110" s="3" t="s">
        <v>215</v>
      </c>
      <c r="Q110" s="3" t="s">
        <v>216</v>
      </c>
      <c r="R110" s="2"/>
      <c r="S110" s="2"/>
      <c r="T110" s="2"/>
      <c r="U110" s="2"/>
      <c r="V110" s="2"/>
      <c r="W110" s="2"/>
      <c r="X110" s="2"/>
      <c r="Y110" s="2"/>
    </row>
    <row r="111">
      <c r="A111" s="5" t="str">
        <f>IFERROR(__xludf.DUMMYFUNCTION("LEFT(A110, 4) &amp; TEXT(VALUE(REGEXEXTRACT(A110, ""\d+"")) + 1, ""0000"")"),"MAN-0109")</f>
        <v>MAN-0109</v>
      </c>
      <c r="B111" s="3" t="s">
        <v>18</v>
      </c>
      <c r="C111" s="3" t="s">
        <v>213</v>
      </c>
      <c r="D111" s="2" t="str">
        <f t="shared" si="1"/>
        <v>BOCA MÁGICA | M</v>
      </c>
      <c r="E111" s="3" t="s">
        <v>48</v>
      </c>
      <c r="F111" s="3" t="s">
        <v>30</v>
      </c>
      <c r="G111" s="3" t="s">
        <v>214</v>
      </c>
      <c r="H111" s="3" t="s">
        <v>33</v>
      </c>
      <c r="I111" s="3">
        <v>2.0</v>
      </c>
      <c r="J111" s="3" t="s">
        <v>23</v>
      </c>
      <c r="K111" s="3" t="s">
        <v>34</v>
      </c>
      <c r="L111" s="6" t="s">
        <v>39</v>
      </c>
      <c r="M111" s="3" t="s">
        <v>66</v>
      </c>
      <c r="N111" s="3" t="s">
        <v>135</v>
      </c>
      <c r="O111" s="3" t="s">
        <v>136</v>
      </c>
      <c r="P111" s="3" t="s">
        <v>215</v>
      </c>
      <c r="Q111" s="3" t="s">
        <v>216</v>
      </c>
      <c r="R111" s="2"/>
      <c r="S111" s="2"/>
      <c r="T111" s="2"/>
      <c r="U111" s="2"/>
      <c r="V111" s="2"/>
      <c r="W111" s="2"/>
      <c r="X111" s="2"/>
      <c r="Y111" s="2"/>
    </row>
    <row r="112">
      <c r="A112" s="5" t="str">
        <f>IFERROR(__xludf.DUMMYFUNCTION("LEFT(A111, 4) &amp; TEXT(VALUE(REGEXEXTRACT(A111, ""\d+"")) + 1, ""0000"")"),"MAN-0110")</f>
        <v>MAN-0110</v>
      </c>
      <c r="B112" s="3" t="s">
        <v>18</v>
      </c>
      <c r="C112" s="3" t="s">
        <v>217</v>
      </c>
      <c r="D112" s="2" t="str">
        <f t="shared" si="1"/>
        <v>BOCA MÁGICA INVISÍVEL | D</v>
      </c>
      <c r="E112" s="3" t="s">
        <v>76</v>
      </c>
      <c r="F112" s="3" t="s">
        <v>21</v>
      </c>
      <c r="G112" s="3" t="s">
        <v>214</v>
      </c>
      <c r="H112" s="3" t="s">
        <v>218</v>
      </c>
      <c r="I112" s="3">
        <v>4.0</v>
      </c>
      <c r="J112" s="3" t="s">
        <v>23</v>
      </c>
      <c r="K112" s="3" t="s">
        <v>34</v>
      </c>
      <c r="L112" s="6" t="s">
        <v>65</v>
      </c>
      <c r="M112" s="3" t="s">
        <v>66</v>
      </c>
      <c r="N112" s="3" t="s">
        <v>125</v>
      </c>
      <c r="O112" s="3" t="s">
        <v>126</v>
      </c>
      <c r="P112" s="3" t="s">
        <v>219</v>
      </c>
      <c r="Q112" s="3" t="s">
        <v>220</v>
      </c>
      <c r="R112" s="2"/>
      <c r="S112" s="2"/>
      <c r="T112" s="2"/>
      <c r="U112" s="2"/>
      <c r="V112" s="2"/>
      <c r="W112" s="2"/>
      <c r="X112" s="2"/>
      <c r="Y112" s="2"/>
    </row>
    <row r="113">
      <c r="A113" s="5" t="str">
        <f>IFERROR(__xludf.DUMMYFUNCTION("LEFT(A112, 4) &amp; TEXT(VALUE(REGEXEXTRACT(A112, ""\d+"")) + 1, ""0000"")"),"MAN-0111")</f>
        <v>MAN-0111</v>
      </c>
      <c r="B113" s="3" t="s">
        <v>18</v>
      </c>
      <c r="C113" s="3" t="s">
        <v>217</v>
      </c>
      <c r="D113" s="2" t="str">
        <f t="shared" si="1"/>
        <v>BOCA MÁGICA INVISÍVEL | D</v>
      </c>
      <c r="E113" s="3" t="s">
        <v>76</v>
      </c>
      <c r="F113" s="3" t="s">
        <v>27</v>
      </c>
      <c r="G113" s="3" t="s">
        <v>214</v>
      </c>
      <c r="H113" s="3" t="s">
        <v>218</v>
      </c>
      <c r="I113" s="3">
        <v>4.0</v>
      </c>
      <c r="J113" s="3" t="s">
        <v>23</v>
      </c>
      <c r="K113" s="3" t="s">
        <v>34</v>
      </c>
      <c r="L113" s="6" t="s">
        <v>35</v>
      </c>
      <c r="M113" s="3" t="s">
        <v>66</v>
      </c>
      <c r="N113" s="3" t="s">
        <v>128</v>
      </c>
      <c r="O113" s="3" t="s">
        <v>126</v>
      </c>
      <c r="P113" s="3" t="s">
        <v>219</v>
      </c>
      <c r="Q113" s="3" t="s">
        <v>220</v>
      </c>
      <c r="R113" s="2"/>
      <c r="S113" s="2"/>
      <c r="T113" s="2"/>
      <c r="U113" s="2"/>
      <c r="V113" s="2"/>
      <c r="W113" s="2"/>
      <c r="X113" s="2"/>
      <c r="Y113" s="2"/>
    </row>
    <row r="114">
      <c r="A114" s="5" t="str">
        <f>IFERROR(__xludf.DUMMYFUNCTION("LEFT(A113, 4) &amp; TEXT(VALUE(REGEXEXTRACT(A113, ""\d+"")) + 1, ""0000"")"),"MAN-0112")</f>
        <v>MAN-0112</v>
      </c>
      <c r="B114" s="3" t="s">
        <v>18</v>
      </c>
      <c r="C114" s="3" t="s">
        <v>217</v>
      </c>
      <c r="D114" s="2" t="str">
        <f t="shared" si="1"/>
        <v>BOCA MÁGICA INVISÍVEL | D</v>
      </c>
      <c r="E114" s="3" t="s">
        <v>76</v>
      </c>
      <c r="F114" s="3" t="s">
        <v>28</v>
      </c>
      <c r="G114" s="3" t="s">
        <v>214</v>
      </c>
      <c r="H114" s="3" t="s">
        <v>218</v>
      </c>
      <c r="I114" s="3">
        <v>4.0</v>
      </c>
      <c r="J114" s="3" t="s">
        <v>23</v>
      </c>
      <c r="K114" s="3" t="s">
        <v>34</v>
      </c>
      <c r="L114" s="6" t="s">
        <v>70</v>
      </c>
      <c r="M114" s="3" t="s">
        <v>66</v>
      </c>
      <c r="N114" s="3" t="s">
        <v>130</v>
      </c>
      <c r="O114" s="3" t="s">
        <v>131</v>
      </c>
      <c r="P114" s="3" t="s">
        <v>219</v>
      </c>
      <c r="Q114" s="3" t="s">
        <v>220</v>
      </c>
      <c r="R114" s="2"/>
      <c r="S114" s="2"/>
      <c r="T114" s="2"/>
      <c r="U114" s="2"/>
      <c r="V114" s="2"/>
      <c r="W114" s="2"/>
      <c r="X114" s="2"/>
      <c r="Y114" s="2"/>
    </row>
    <row r="115">
      <c r="A115" s="5" t="str">
        <f>IFERROR(__xludf.DUMMYFUNCTION("LEFT(A114, 4) &amp; TEXT(VALUE(REGEXEXTRACT(A114, ""\d+"")) + 1, ""0000"")"),"MAN-0113")</f>
        <v>MAN-0113</v>
      </c>
      <c r="B115" s="3" t="s">
        <v>18</v>
      </c>
      <c r="C115" s="3" t="s">
        <v>217</v>
      </c>
      <c r="D115" s="2" t="str">
        <f t="shared" si="1"/>
        <v>BOCA MÁGICA INVISÍVEL | D</v>
      </c>
      <c r="E115" s="3" t="s">
        <v>76</v>
      </c>
      <c r="F115" s="3" t="s">
        <v>29</v>
      </c>
      <c r="G115" s="3" t="s">
        <v>214</v>
      </c>
      <c r="H115" s="3" t="s">
        <v>218</v>
      </c>
      <c r="I115" s="3">
        <v>4.0</v>
      </c>
      <c r="J115" s="3" t="s">
        <v>23</v>
      </c>
      <c r="K115" s="3" t="s">
        <v>34</v>
      </c>
      <c r="L115" s="6" t="s">
        <v>72</v>
      </c>
      <c r="M115" s="3" t="s">
        <v>66</v>
      </c>
      <c r="N115" s="3" t="s">
        <v>133</v>
      </c>
      <c r="O115" s="3" t="s">
        <v>131</v>
      </c>
      <c r="P115" s="3" t="s">
        <v>219</v>
      </c>
      <c r="Q115" s="3" t="s">
        <v>220</v>
      </c>
      <c r="R115" s="2"/>
      <c r="S115" s="2"/>
      <c r="T115" s="2"/>
      <c r="U115" s="2"/>
      <c r="V115" s="2"/>
      <c r="W115" s="2"/>
      <c r="X115" s="2"/>
      <c r="Y115" s="2"/>
    </row>
    <row r="116">
      <c r="A116" s="5" t="str">
        <f>IFERROR(__xludf.DUMMYFUNCTION("LEFT(A115, 4) &amp; TEXT(VALUE(REGEXEXTRACT(A115, ""\d+"")) + 1, ""0000"")"),"MAN-0114")</f>
        <v>MAN-0114</v>
      </c>
      <c r="B116" s="3" t="s">
        <v>18</v>
      </c>
      <c r="C116" s="3" t="s">
        <v>217</v>
      </c>
      <c r="D116" s="2" t="str">
        <f t="shared" si="1"/>
        <v>BOCA MÁGICA INVISÍVEL | D</v>
      </c>
      <c r="E116" s="3" t="s">
        <v>76</v>
      </c>
      <c r="F116" s="3" t="s">
        <v>30</v>
      </c>
      <c r="G116" s="3" t="s">
        <v>214</v>
      </c>
      <c r="H116" s="3" t="s">
        <v>218</v>
      </c>
      <c r="I116" s="3">
        <v>4.0</v>
      </c>
      <c r="J116" s="3" t="s">
        <v>23</v>
      </c>
      <c r="K116" s="3" t="s">
        <v>34</v>
      </c>
      <c r="L116" s="6" t="s">
        <v>39</v>
      </c>
      <c r="M116" s="3" t="s">
        <v>66</v>
      </c>
      <c r="N116" s="3" t="s">
        <v>135</v>
      </c>
      <c r="O116" s="3" t="s">
        <v>136</v>
      </c>
      <c r="P116" s="3" t="s">
        <v>219</v>
      </c>
      <c r="Q116" s="3" t="s">
        <v>220</v>
      </c>
      <c r="R116" s="2"/>
      <c r="S116" s="2"/>
      <c r="T116" s="2"/>
      <c r="U116" s="2"/>
      <c r="V116" s="2"/>
      <c r="W116" s="2"/>
      <c r="X116" s="2"/>
      <c r="Y116" s="2"/>
    </row>
    <row r="117">
      <c r="A117" s="5" t="str">
        <f>IFERROR(__xludf.DUMMYFUNCTION("LEFT(A116, 4) &amp; TEXT(VALUE(REGEXEXTRACT(A116, ""\d+"")) + 1, ""0000"")"),"MAN-0115")</f>
        <v>MAN-0115</v>
      </c>
      <c r="B117" s="3" t="s">
        <v>18</v>
      </c>
      <c r="C117" s="3" t="s">
        <v>221</v>
      </c>
      <c r="D117" s="2" t="str">
        <f t="shared" si="1"/>
        <v>MÃO MÁGICA | M</v>
      </c>
      <c r="E117" s="3" t="s">
        <v>48</v>
      </c>
      <c r="F117" s="3" t="s">
        <v>21</v>
      </c>
      <c r="G117" s="3" t="s">
        <v>214</v>
      </c>
      <c r="H117" s="3" t="s">
        <v>33</v>
      </c>
      <c r="I117" s="3">
        <v>2.0</v>
      </c>
      <c r="J117" s="3" t="s">
        <v>23</v>
      </c>
      <c r="K117" s="3" t="s">
        <v>34</v>
      </c>
      <c r="L117" s="6" t="s">
        <v>65</v>
      </c>
      <c r="M117" s="3" t="s">
        <v>66</v>
      </c>
      <c r="N117" s="3" t="s">
        <v>125</v>
      </c>
      <c r="O117" s="3" t="s">
        <v>126</v>
      </c>
      <c r="P117" s="3" t="s">
        <v>222</v>
      </c>
      <c r="Q117" s="3" t="s">
        <v>223</v>
      </c>
      <c r="R117" s="2"/>
      <c r="S117" s="2"/>
      <c r="T117" s="2"/>
      <c r="U117" s="2"/>
      <c r="V117" s="2"/>
      <c r="W117" s="2"/>
      <c r="X117" s="2"/>
      <c r="Y117" s="2"/>
    </row>
    <row r="118">
      <c r="A118" s="5" t="str">
        <f>IFERROR(__xludf.DUMMYFUNCTION("LEFT(A117, 4) &amp; TEXT(VALUE(REGEXEXTRACT(A117, ""\d+"")) + 1, ""0000"")"),"MAN-0116")</f>
        <v>MAN-0116</v>
      </c>
      <c r="B118" s="3" t="s">
        <v>18</v>
      </c>
      <c r="C118" s="3" t="s">
        <v>221</v>
      </c>
      <c r="D118" s="2" t="str">
        <f t="shared" si="1"/>
        <v>MÃO MÁGICA | M</v>
      </c>
      <c r="E118" s="3" t="s">
        <v>48</v>
      </c>
      <c r="F118" s="3" t="s">
        <v>27</v>
      </c>
      <c r="G118" s="3" t="s">
        <v>214</v>
      </c>
      <c r="H118" s="3" t="s">
        <v>33</v>
      </c>
      <c r="I118" s="3">
        <v>2.0</v>
      </c>
      <c r="J118" s="3" t="s">
        <v>23</v>
      </c>
      <c r="K118" s="3" t="s">
        <v>34</v>
      </c>
      <c r="L118" s="6" t="s">
        <v>35</v>
      </c>
      <c r="M118" s="3" t="s">
        <v>66</v>
      </c>
      <c r="N118" s="3" t="s">
        <v>128</v>
      </c>
      <c r="O118" s="3" t="s">
        <v>126</v>
      </c>
      <c r="P118" s="3" t="s">
        <v>222</v>
      </c>
      <c r="Q118" s="3" t="s">
        <v>223</v>
      </c>
      <c r="R118" s="2"/>
      <c r="S118" s="2"/>
      <c r="T118" s="2"/>
      <c r="U118" s="2"/>
      <c r="V118" s="2"/>
      <c r="W118" s="2"/>
      <c r="X118" s="2"/>
      <c r="Y118" s="2"/>
    </row>
    <row r="119">
      <c r="A119" s="5" t="str">
        <f>IFERROR(__xludf.DUMMYFUNCTION("LEFT(A118, 4) &amp; TEXT(VALUE(REGEXEXTRACT(A118, ""\d+"")) + 1, ""0000"")"),"MAN-0117")</f>
        <v>MAN-0117</v>
      </c>
      <c r="B119" s="3" t="s">
        <v>18</v>
      </c>
      <c r="C119" s="3" t="s">
        <v>221</v>
      </c>
      <c r="D119" s="2" t="str">
        <f t="shared" si="1"/>
        <v>MÃO MÁGICA | M</v>
      </c>
      <c r="E119" s="3" t="s">
        <v>48</v>
      </c>
      <c r="F119" s="3" t="s">
        <v>28</v>
      </c>
      <c r="G119" s="3" t="s">
        <v>214</v>
      </c>
      <c r="H119" s="3" t="s">
        <v>33</v>
      </c>
      <c r="I119" s="3">
        <v>2.0</v>
      </c>
      <c r="J119" s="3" t="s">
        <v>23</v>
      </c>
      <c r="K119" s="3" t="s">
        <v>34</v>
      </c>
      <c r="L119" s="6" t="s">
        <v>70</v>
      </c>
      <c r="M119" s="3" t="s">
        <v>66</v>
      </c>
      <c r="N119" s="3" t="s">
        <v>130</v>
      </c>
      <c r="O119" s="3" t="s">
        <v>131</v>
      </c>
      <c r="P119" s="3" t="s">
        <v>222</v>
      </c>
      <c r="Q119" s="3" t="s">
        <v>223</v>
      </c>
      <c r="R119" s="2"/>
      <c r="S119" s="2"/>
      <c r="T119" s="2"/>
      <c r="U119" s="2"/>
      <c r="V119" s="2"/>
      <c r="W119" s="2"/>
      <c r="X119" s="2"/>
      <c r="Y119" s="2"/>
    </row>
    <row r="120">
      <c r="A120" s="5" t="str">
        <f>IFERROR(__xludf.DUMMYFUNCTION("LEFT(A119, 4) &amp; TEXT(VALUE(REGEXEXTRACT(A119, ""\d+"")) + 1, ""0000"")"),"MAN-0118")</f>
        <v>MAN-0118</v>
      </c>
      <c r="B120" s="3" t="s">
        <v>18</v>
      </c>
      <c r="C120" s="3" t="s">
        <v>221</v>
      </c>
      <c r="D120" s="2" t="str">
        <f t="shared" si="1"/>
        <v>MÃO MÁGICA | M</v>
      </c>
      <c r="E120" s="3" t="s">
        <v>48</v>
      </c>
      <c r="F120" s="3" t="s">
        <v>29</v>
      </c>
      <c r="G120" s="3" t="s">
        <v>214</v>
      </c>
      <c r="H120" s="3" t="s">
        <v>33</v>
      </c>
      <c r="I120" s="3">
        <v>2.0</v>
      </c>
      <c r="J120" s="3" t="s">
        <v>23</v>
      </c>
      <c r="K120" s="3" t="s">
        <v>34</v>
      </c>
      <c r="L120" s="6" t="s">
        <v>72</v>
      </c>
      <c r="M120" s="3" t="s">
        <v>66</v>
      </c>
      <c r="N120" s="3" t="s">
        <v>133</v>
      </c>
      <c r="O120" s="3" t="s">
        <v>131</v>
      </c>
      <c r="P120" s="3" t="s">
        <v>222</v>
      </c>
      <c r="Q120" s="3" t="s">
        <v>223</v>
      </c>
      <c r="R120" s="2"/>
      <c r="S120" s="2"/>
      <c r="T120" s="2"/>
      <c r="U120" s="2"/>
      <c r="V120" s="2"/>
      <c r="W120" s="2"/>
      <c r="X120" s="2"/>
      <c r="Y120" s="2"/>
    </row>
    <row r="121">
      <c r="A121" s="5" t="str">
        <f>IFERROR(__xludf.DUMMYFUNCTION("LEFT(A120, 4) &amp; TEXT(VALUE(REGEXEXTRACT(A120, ""\d+"")) + 1, ""0000"")"),"MAN-0119")</f>
        <v>MAN-0119</v>
      </c>
      <c r="B121" s="3" t="s">
        <v>18</v>
      </c>
      <c r="C121" s="3" t="s">
        <v>221</v>
      </c>
      <c r="D121" s="2" t="str">
        <f t="shared" si="1"/>
        <v>MÃO MÁGICA | M</v>
      </c>
      <c r="E121" s="3" t="s">
        <v>48</v>
      </c>
      <c r="F121" s="3" t="s">
        <v>30</v>
      </c>
      <c r="G121" s="3" t="s">
        <v>214</v>
      </c>
      <c r="H121" s="3" t="s">
        <v>33</v>
      </c>
      <c r="I121" s="3">
        <v>2.0</v>
      </c>
      <c r="J121" s="3" t="s">
        <v>23</v>
      </c>
      <c r="K121" s="3" t="s">
        <v>34</v>
      </c>
      <c r="L121" s="6" t="s">
        <v>39</v>
      </c>
      <c r="M121" s="3" t="s">
        <v>66</v>
      </c>
      <c r="N121" s="3" t="s">
        <v>135</v>
      </c>
      <c r="O121" s="3" t="s">
        <v>136</v>
      </c>
      <c r="P121" s="3" t="s">
        <v>222</v>
      </c>
      <c r="Q121" s="3" t="s">
        <v>223</v>
      </c>
      <c r="R121" s="2"/>
      <c r="S121" s="2"/>
      <c r="T121" s="2"/>
      <c r="U121" s="2"/>
      <c r="V121" s="2"/>
      <c r="W121" s="2"/>
      <c r="X121" s="2"/>
      <c r="Y121" s="2"/>
    </row>
    <row r="122">
      <c r="A122" s="5" t="str">
        <f>IFERROR(__xludf.DUMMYFUNCTION("LEFT(A121, 4) &amp; TEXT(VALUE(REGEXEXTRACT(A121, ""\d+"")) + 1, ""0000"")"),"MAN-0120")</f>
        <v>MAN-0120</v>
      </c>
      <c r="B122" s="3" t="s">
        <v>18</v>
      </c>
      <c r="C122" s="3" t="s">
        <v>224</v>
      </c>
      <c r="D122" s="2" t="str">
        <f t="shared" si="1"/>
        <v>MÃO MÁGICA INVISÍVEL | D</v>
      </c>
      <c r="E122" s="3" t="s">
        <v>76</v>
      </c>
      <c r="F122" s="3" t="s">
        <v>21</v>
      </c>
      <c r="G122" s="3" t="s">
        <v>214</v>
      </c>
      <c r="H122" s="3" t="s">
        <v>225</v>
      </c>
      <c r="I122" s="3">
        <v>4.0</v>
      </c>
      <c r="J122" s="3" t="s">
        <v>23</v>
      </c>
      <c r="K122" s="3" t="s">
        <v>34</v>
      </c>
      <c r="L122" s="6" t="s">
        <v>65</v>
      </c>
      <c r="M122" s="3" t="s">
        <v>66</v>
      </c>
      <c r="N122" s="3" t="s">
        <v>125</v>
      </c>
      <c r="O122" s="3" t="s">
        <v>126</v>
      </c>
      <c r="P122" s="3" t="s">
        <v>226</v>
      </c>
      <c r="Q122" s="3" t="s">
        <v>227</v>
      </c>
      <c r="R122" s="2"/>
      <c r="S122" s="2"/>
      <c r="T122" s="2"/>
      <c r="U122" s="2"/>
      <c r="V122" s="2"/>
      <c r="W122" s="2"/>
      <c r="X122" s="2"/>
      <c r="Y122" s="2"/>
    </row>
    <row r="123">
      <c r="A123" s="5" t="str">
        <f>IFERROR(__xludf.DUMMYFUNCTION("LEFT(A122, 4) &amp; TEXT(VALUE(REGEXEXTRACT(A122, ""\d+"")) + 1, ""0000"")"),"MAN-0121")</f>
        <v>MAN-0121</v>
      </c>
      <c r="B123" s="3" t="s">
        <v>18</v>
      </c>
      <c r="C123" s="3" t="s">
        <v>224</v>
      </c>
      <c r="D123" s="2" t="str">
        <f t="shared" si="1"/>
        <v>MÃO MÁGICA INVISÍVEL | D</v>
      </c>
      <c r="E123" s="3" t="s">
        <v>76</v>
      </c>
      <c r="F123" s="3" t="s">
        <v>27</v>
      </c>
      <c r="G123" s="3" t="s">
        <v>214</v>
      </c>
      <c r="H123" s="3" t="s">
        <v>225</v>
      </c>
      <c r="I123" s="3">
        <v>4.0</v>
      </c>
      <c r="J123" s="3" t="s">
        <v>23</v>
      </c>
      <c r="K123" s="3" t="s">
        <v>34</v>
      </c>
      <c r="L123" s="6" t="s">
        <v>35</v>
      </c>
      <c r="M123" s="3" t="s">
        <v>66</v>
      </c>
      <c r="N123" s="3" t="s">
        <v>128</v>
      </c>
      <c r="O123" s="3" t="s">
        <v>126</v>
      </c>
      <c r="P123" s="3" t="s">
        <v>226</v>
      </c>
      <c r="Q123" s="3" t="s">
        <v>227</v>
      </c>
      <c r="R123" s="2"/>
      <c r="S123" s="2"/>
      <c r="T123" s="2"/>
      <c r="U123" s="2"/>
      <c r="V123" s="2"/>
      <c r="W123" s="2"/>
      <c r="X123" s="2"/>
      <c r="Y123" s="2"/>
    </row>
    <row r="124">
      <c r="A124" s="5" t="str">
        <f>IFERROR(__xludf.DUMMYFUNCTION("LEFT(A123, 4) &amp; TEXT(VALUE(REGEXEXTRACT(A123, ""\d+"")) + 1, ""0000"")"),"MAN-0122")</f>
        <v>MAN-0122</v>
      </c>
      <c r="B124" s="3" t="s">
        <v>18</v>
      </c>
      <c r="C124" s="3" t="s">
        <v>224</v>
      </c>
      <c r="D124" s="2" t="str">
        <f t="shared" si="1"/>
        <v>MÃO MÁGICA INVISÍVEL | D</v>
      </c>
      <c r="E124" s="3" t="s">
        <v>76</v>
      </c>
      <c r="F124" s="3" t="s">
        <v>28</v>
      </c>
      <c r="G124" s="3" t="s">
        <v>214</v>
      </c>
      <c r="H124" s="3" t="s">
        <v>225</v>
      </c>
      <c r="I124" s="3">
        <v>4.0</v>
      </c>
      <c r="J124" s="3" t="s">
        <v>23</v>
      </c>
      <c r="K124" s="3" t="s">
        <v>34</v>
      </c>
      <c r="L124" s="6" t="s">
        <v>70</v>
      </c>
      <c r="M124" s="3" t="s">
        <v>66</v>
      </c>
      <c r="N124" s="3" t="s">
        <v>130</v>
      </c>
      <c r="O124" s="3" t="s">
        <v>131</v>
      </c>
      <c r="P124" s="3" t="s">
        <v>226</v>
      </c>
      <c r="Q124" s="3" t="s">
        <v>227</v>
      </c>
      <c r="R124" s="2"/>
      <c r="S124" s="2"/>
      <c r="T124" s="2"/>
      <c r="U124" s="2"/>
      <c r="V124" s="2"/>
      <c r="W124" s="2"/>
      <c r="X124" s="2"/>
      <c r="Y124" s="2"/>
    </row>
    <row r="125">
      <c r="A125" s="5" t="str">
        <f>IFERROR(__xludf.DUMMYFUNCTION("LEFT(A124, 4) &amp; TEXT(VALUE(REGEXEXTRACT(A124, ""\d+"")) + 1, ""0000"")"),"MAN-0123")</f>
        <v>MAN-0123</v>
      </c>
      <c r="B125" s="3" t="s">
        <v>18</v>
      </c>
      <c r="C125" s="3" t="s">
        <v>224</v>
      </c>
      <c r="D125" s="2" t="str">
        <f t="shared" si="1"/>
        <v>MÃO MÁGICA INVISÍVEL | D</v>
      </c>
      <c r="E125" s="3" t="s">
        <v>76</v>
      </c>
      <c r="F125" s="3" t="s">
        <v>29</v>
      </c>
      <c r="G125" s="3" t="s">
        <v>214</v>
      </c>
      <c r="H125" s="3" t="s">
        <v>225</v>
      </c>
      <c r="I125" s="3">
        <v>4.0</v>
      </c>
      <c r="J125" s="3" t="s">
        <v>23</v>
      </c>
      <c r="K125" s="3" t="s">
        <v>34</v>
      </c>
      <c r="L125" s="6" t="s">
        <v>72</v>
      </c>
      <c r="M125" s="3" t="s">
        <v>66</v>
      </c>
      <c r="N125" s="3" t="s">
        <v>133</v>
      </c>
      <c r="O125" s="3" t="s">
        <v>131</v>
      </c>
      <c r="P125" s="3" t="s">
        <v>226</v>
      </c>
      <c r="Q125" s="3" t="s">
        <v>227</v>
      </c>
      <c r="R125" s="2"/>
      <c r="S125" s="2"/>
      <c r="T125" s="2"/>
      <c r="U125" s="2"/>
      <c r="V125" s="2"/>
      <c r="W125" s="2"/>
      <c r="X125" s="2"/>
      <c r="Y125" s="2"/>
    </row>
    <row r="126">
      <c r="A126" s="5" t="str">
        <f>IFERROR(__xludf.DUMMYFUNCTION("LEFT(A125, 4) &amp; TEXT(VALUE(REGEXEXTRACT(A125, ""\d+"")) + 1, ""0000"")"),"MAN-0124")</f>
        <v>MAN-0124</v>
      </c>
      <c r="B126" s="3" t="s">
        <v>18</v>
      </c>
      <c r="C126" s="3" t="s">
        <v>224</v>
      </c>
      <c r="D126" s="2" t="str">
        <f t="shared" si="1"/>
        <v>MÃO MÁGICA INVISÍVEL | D</v>
      </c>
      <c r="E126" s="3" t="s">
        <v>76</v>
      </c>
      <c r="F126" s="3" t="s">
        <v>30</v>
      </c>
      <c r="G126" s="3" t="s">
        <v>214</v>
      </c>
      <c r="H126" s="3" t="s">
        <v>225</v>
      </c>
      <c r="I126" s="3">
        <v>4.0</v>
      </c>
      <c r="J126" s="3" t="s">
        <v>23</v>
      </c>
      <c r="K126" s="3" t="s">
        <v>34</v>
      </c>
      <c r="L126" s="6" t="s">
        <v>39</v>
      </c>
      <c r="M126" s="3" t="s">
        <v>66</v>
      </c>
      <c r="N126" s="3" t="s">
        <v>135</v>
      </c>
      <c r="O126" s="3" t="s">
        <v>136</v>
      </c>
      <c r="P126" s="3" t="s">
        <v>226</v>
      </c>
      <c r="Q126" s="3" t="s">
        <v>227</v>
      </c>
      <c r="R126" s="2"/>
      <c r="S126" s="2"/>
      <c r="T126" s="2"/>
      <c r="U126" s="2"/>
      <c r="V126" s="2"/>
      <c r="W126" s="2"/>
      <c r="X126" s="2"/>
      <c r="Y126" s="2"/>
    </row>
    <row r="127">
      <c r="A127" s="5" t="str">
        <f>IFERROR(__xludf.DUMMYFUNCTION("LEFT(A126, 4) &amp; TEXT(VALUE(REGEXEXTRACT(A126, ""\d+"")) + 1, ""0000"")"),"MAN-0125")</f>
        <v>MAN-0125</v>
      </c>
      <c r="B127" s="3" t="s">
        <v>18</v>
      </c>
      <c r="C127" s="3" t="s">
        <v>228</v>
      </c>
      <c r="D127" s="2" t="str">
        <f t="shared" si="1"/>
        <v>NARIZ MÁGICO | M</v>
      </c>
      <c r="E127" s="3" t="s">
        <v>48</v>
      </c>
      <c r="F127" s="3" t="s">
        <v>21</v>
      </c>
      <c r="G127" s="3" t="s">
        <v>214</v>
      </c>
      <c r="H127" s="3" t="s">
        <v>33</v>
      </c>
      <c r="I127" s="3">
        <v>2.0</v>
      </c>
      <c r="J127" s="3" t="s">
        <v>23</v>
      </c>
      <c r="K127" s="3" t="s">
        <v>34</v>
      </c>
      <c r="L127" s="6" t="s">
        <v>65</v>
      </c>
      <c r="M127" s="3" t="s">
        <v>66</v>
      </c>
      <c r="N127" s="3" t="s">
        <v>125</v>
      </c>
      <c r="O127" s="3" t="s">
        <v>126</v>
      </c>
      <c r="P127" s="3" t="s">
        <v>229</v>
      </c>
      <c r="Q127" s="3" t="s">
        <v>230</v>
      </c>
      <c r="R127" s="2"/>
      <c r="S127" s="2"/>
      <c r="T127" s="2"/>
      <c r="U127" s="2"/>
      <c r="V127" s="2"/>
      <c r="W127" s="2"/>
      <c r="X127" s="2"/>
      <c r="Y127" s="2"/>
    </row>
    <row r="128">
      <c r="A128" s="5" t="str">
        <f>IFERROR(__xludf.DUMMYFUNCTION("LEFT(A127, 4) &amp; TEXT(VALUE(REGEXEXTRACT(A127, ""\d+"")) + 1, ""0000"")"),"MAN-0126")</f>
        <v>MAN-0126</v>
      </c>
      <c r="B128" s="3" t="s">
        <v>18</v>
      </c>
      <c r="C128" s="3" t="s">
        <v>228</v>
      </c>
      <c r="D128" s="2" t="str">
        <f t="shared" si="1"/>
        <v>NARIZ MÁGICO | M</v>
      </c>
      <c r="E128" s="3" t="s">
        <v>48</v>
      </c>
      <c r="F128" s="3" t="s">
        <v>27</v>
      </c>
      <c r="G128" s="3" t="s">
        <v>214</v>
      </c>
      <c r="H128" s="3" t="s">
        <v>33</v>
      </c>
      <c r="I128" s="3">
        <v>2.0</v>
      </c>
      <c r="J128" s="3" t="s">
        <v>23</v>
      </c>
      <c r="K128" s="3" t="s">
        <v>34</v>
      </c>
      <c r="L128" s="6" t="s">
        <v>35</v>
      </c>
      <c r="M128" s="3" t="s">
        <v>66</v>
      </c>
      <c r="N128" s="3" t="s">
        <v>128</v>
      </c>
      <c r="O128" s="3" t="s">
        <v>126</v>
      </c>
      <c r="P128" s="3" t="s">
        <v>229</v>
      </c>
      <c r="Q128" s="3" t="s">
        <v>230</v>
      </c>
      <c r="R128" s="2"/>
      <c r="S128" s="2"/>
      <c r="T128" s="2"/>
      <c r="U128" s="2"/>
      <c r="V128" s="2"/>
      <c r="W128" s="2"/>
      <c r="X128" s="2"/>
      <c r="Y128" s="2"/>
    </row>
    <row r="129">
      <c r="A129" s="5" t="str">
        <f>IFERROR(__xludf.DUMMYFUNCTION("LEFT(A128, 4) &amp; TEXT(VALUE(REGEXEXTRACT(A128, ""\d+"")) + 1, ""0000"")"),"MAN-0127")</f>
        <v>MAN-0127</v>
      </c>
      <c r="B129" s="3" t="s">
        <v>18</v>
      </c>
      <c r="C129" s="3" t="s">
        <v>228</v>
      </c>
      <c r="D129" s="2" t="str">
        <f t="shared" si="1"/>
        <v>NARIZ MÁGICO | M</v>
      </c>
      <c r="E129" s="3" t="s">
        <v>48</v>
      </c>
      <c r="F129" s="3" t="s">
        <v>28</v>
      </c>
      <c r="G129" s="3" t="s">
        <v>214</v>
      </c>
      <c r="H129" s="3" t="s">
        <v>33</v>
      </c>
      <c r="I129" s="3">
        <v>2.0</v>
      </c>
      <c r="J129" s="3" t="s">
        <v>23</v>
      </c>
      <c r="K129" s="3" t="s">
        <v>34</v>
      </c>
      <c r="L129" s="6" t="s">
        <v>70</v>
      </c>
      <c r="M129" s="3" t="s">
        <v>66</v>
      </c>
      <c r="N129" s="3" t="s">
        <v>130</v>
      </c>
      <c r="O129" s="3" t="s">
        <v>131</v>
      </c>
      <c r="P129" s="3" t="s">
        <v>229</v>
      </c>
      <c r="Q129" s="3" t="s">
        <v>230</v>
      </c>
      <c r="R129" s="2"/>
      <c r="S129" s="2"/>
      <c r="T129" s="2"/>
      <c r="U129" s="2"/>
      <c r="V129" s="2"/>
      <c r="W129" s="2"/>
      <c r="X129" s="2"/>
      <c r="Y129" s="2"/>
    </row>
    <row r="130">
      <c r="A130" s="5" t="str">
        <f>IFERROR(__xludf.DUMMYFUNCTION("LEFT(A129, 4) &amp; TEXT(VALUE(REGEXEXTRACT(A129, ""\d+"")) + 1, ""0000"")"),"MAN-0128")</f>
        <v>MAN-0128</v>
      </c>
      <c r="B130" s="3" t="s">
        <v>18</v>
      </c>
      <c r="C130" s="3" t="s">
        <v>228</v>
      </c>
      <c r="D130" s="2" t="str">
        <f t="shared" si="1"/>
        <v>NARIZ MÁGICO | M</v>
      </c>
      <c r="E130" s="3" t="s">
        <v>48</v>
      </c>
      <c r="F130" s="3" t="s">
        <v>29</v>
      </c>
      <c r="G130" s="3" t="s">
        <v>214</v>
      </c>
      <c r="H130" s="3" t="s">
        <v>33</v>
      </c>
      <c r="I130" s="3">
        <v>2.0</v>
      </c>
      <c r="J130" s="3" t="s">
        <v>23</v>
      </c>
      <c r="K130" s="3" t="s">
        <v>34</v>
      </c>
      <c r="L130" s="6" t="s">
        <v>72</v>
      </c>
      <c r="M130" s="3" t="s">
        <v>66</v>
      </c>
      <c r="N130" s="3" t="s">
        <v>133</v>
      </c>
      <c r="O130" s="3" t="s">
        <v>131</v>
      </c>
      <c r="P130" s="3" t="s">
        <v>229</v>
      </c>
      <c r="Q130" s="3" t="s">
        <v>230</v>
      </c>
      <c r="R130" s="2"/>
      <c r="S130" s="2"/>
      <c r="T130" s="2"/>
      <c r="U130" s="2"/>
      <c r="V130" s="2"/>
      <c r="W130" s="2"/>
      <c r="X130" s="2"/>
      <c r="Y130" s="2"/>
    </row>
    <row r="131">
      <c r="A131" s="5" t="str">
        <f>IFERROR(__xludf.DUMMYFUNCTION("LEFT(A130, 4) &amp; TEXT(VALUE(REGEXEXTRACT(A130, ""\d+"")) + 1, ""0000"")"),"MAN-0129")</f>
        <v>MAN-0129</v>
      </c>
      <c r="B131" s="3" t="s">
        <v>18</v>
      </c>
      <c r="C131" s="3" t="s">
        <v>228</v>
      </c>
      <c r="D131" s="2" t="str">
        <f t="shared" si="1"/>
        <v>NARIZ MÁGICO | M</v>
      </c>
      <c r="E131" s="3" t="s">
        <v>48</v>
      </c>
      <c r="F131" s="3" t="s">
        <v>30</v>
      </c>
      <c r="G131" s="3" t="s">
        <v>214</v>
      </c>
      <c r="H131" s="3" t="s">
        <v>33</v>
      </c>
      <c r="I131" s="3">
        <v>2.0</v>
      </c>
      <c r="J131" s="3" t="s">
        <v>23</v>
      </c>
      <c r="K131" s="3" t="s">
        <v>34</v>
      </c>
      <c r="L131" s="6" t="s">
        <v>39</v>
      </c>
      <c r="M131" s="3" t="s">
        <v>66</v>
      </c>
      <c r="N131" s="3" t="s">
        <v>135</v>
      </c>
      <c r="O131" s="3" t="s">
        <v>136</v>
      </c>
      <c r="P131" s="3" t="s">
        <v>229</v>
      </c>
      <c r="Q131" s="3" t="s">
        <v>230</v>
      </c>
      <c r="R131" s="2"/>
      <c r="S131" s="2"/>
      <c r="T131" s="2"/>
      <c r="U131" s="2"/>
      <c r="V131" s="2"/>
      <c r="W131" s="2"/>
      <c r="X131" s="2"/>
      <c r="Y131" s="2"/>
    </row>
    <row r="132">
      <c r="A132" s="5" t="str">
        <f>IFERROR(__xludf.DUMMYFUNCTION("LEFT(A131, 4) &amp; TEXT(VALUE(REGEXEXTRACT(A131, ""\d+"")) + 1, ""0000"")"),"MAN-0130")</f>
        <v>MAN-0130</v>
      </c>
      <c r="B132" s="3" t="s">
        <v>18</v>
      </c>
      <c r="C132" s="3" t="s">
        <v>231</v>
      </c>
      <c r="D132" s="2" t="str">
        <f t="shared" si="1"/>
        <v>NARIZ MÁGICO INVISÍVEL | D</v>
      </c>
      <c r="E132" s="3" t="s">
        <v>76</v>
      </c>
      <c r="F132" s="3" t="s">
        <v>21</v>
      </c>
      <c r="G132" s="3" t="s">
        <v>214</v>
      </c>
      <c r="H132" s="3" t="s">
        <v>225</v>
      </c>
      <c r="I132" s="3">
        <v>4.0</v>
      </c>
      <c r="J132" s="3" t="s">
        <v>23</v>
      </c>
      <c r="K132" s="3" t="s">
        <v>34</v>
      </c>
      <c r="L132" s="6" t="s">
        <v>65</v>
      </c>
      <c r="M132" s="3" t="s">
        <v>66</v>
      </c>
      <c r="N132" s="3" t="s">
        <v>125</v>
      </c>
      <c r="O132" s="3" t="s">
        <v>126</v>
      </c>
      <c r="P132" s="3" t="s">
        <v>232</v>
      </c>
      <c r="Q132" s="3" t="s">
        <v>233</v>
      </c>
      <c r="R132" s="2"/>
      <c r="S132" s="2"/>
      <c r="T132" s="2"/>
      <c r="U132" s="2"/>
      <c r="V132" s="2"/>
      <c r="W132" s="2"/>
      <c r="X132" s="2"/>
      <c r="Y132" s="2"/>
    </row>
    <row r="133">
      <c r="A133" s="5" t="str">
        <f>IFERROR(__xludf.DUMMYFUNCTION("LEFT(A132, 4) &amp; TEXT(VALUE(REGEXEXTRACT(A132, ""\d+"")) + 1, ""0000"")"),"MAN-0131")</f>
        <v>MAN-0131</v>
      </c>
      <c r="B133" s="3" t="s">
        <v>18</v>
      </c>
      <c r="C133" s="3" t="s">
        <v>231</v>
      </c>
      <c r="D133" s="2" t="str">
        <f t="shared" si="1"/>
        <v>NARIZ MÁGICO INVISÍVEL | D</v>
      </c>
      <c r="E133" s="3" t="s">
        <v>76</v>
      </c>
      <c r="F133" s="3" t="s">
        <v>27</v>
      </c>
      <c r="G133" s="3" t="s">
        <v>214</v>
      </c>
      <c r="H133" s="3" t="s">
        <v>225</v>
      </c>
      <c r="I133" s="3">
        <v>4.0</v>
      </c>
      <c r="J133" s="3" t="s">
        <v>23</v>
      </c>
      <c r="K133" s="3" t="s">
        <v>34</v>
      </c>
      <c r="L133" s="6" t="s">
        <v>35</v>
      </c>
      <c r="M133" s="3" t="s">
        <v>66</v>
      </c>
      <c r="N133" s="3" t="s">
        <v>128</v>
      </c>
      <c r="O133" s="3" t="s">
        <v>126</v>
      </c>
      <c r="P133" s="3" t="s">
        <v>232</v>
      </c>
      <c r="Q133" s="3" t="s">
        <v>233</v>
      </c>
      <c r="R133" s="2"/>
      <c r="S133" s="2"/>
      <c r="T133" s="2"/>
      <c r="U133" s="2"/>
      <c r="V133" s="2"/>
      <c r="W133" s="2"/>
      <c r="X133" s="2"/>
      <c r="Y133" s="2"/>
    </row>
    <row r="134">
      <c r="A134" s="5" t="str">
        <f>IFERROR(__xludf.DUMMYFUNCTION("LEFT(A133, 4) &amp; TEXT(VALUE(REGEXEXTRACT(A133, ""\d+"")) + 1, ""0000"")"),"MAN-0132")</f>
        <v>MAN-0132</v>
      </c>
      <c r="B134" s="3" t="s">
        <v>18</v>
      </c>
      <c r="C134" s="3" t="s">
        <v>231</v>
      </c>
      <c r="D134" s="2" t="str">
        <f t="shared" si="1"/>
        <v>NARIZ MÁGICO INVISÍVEL | D</v>
      </c>
      <c r="E134" s="3" t="s">
        <v>76</v>
      </c>
      <c r="F134" s="3" t="s">
        <v>28</v>
      </c>
      <c r="G134" s="3" t="s">
        <v>214</v>
      </c>
      <c r="H134" s="3" t="s">
        <v>225</v>
      </c>
      <c r="I134" s="3">
        <v>4.0</v>
      </c>
      <c r="J134" s="3" t="s">
        <v>23</v>
      </c>
      <c r="K134" s="3" t="s">
        <v>34</v>
      </c>
      <c r="L134" s="6" t="s">
        <v>70</v>
      </c>
      <c r="M134" s="3" t="s">
        <v>66</v>
      </c>
      <c r="N134" s="3" t="s">
        <v>130</v>
      </c>
      <c r="O134" s="3" t="s">
        <v>131</v>
      </c>
      <c r="P134" s="3" t="s">
        <v>232</v>
      </c>
      <c r="Q134" s="3" t="s">
        <v>233</v>
      </c>
      <c r="R134" s="2"/>
      <c r="S134" s="2"/>
      <c r="T134" s="2"/>
      <c r="U134" s="2"/>
      <c r="V134" s="2"/>
      <c r="W134" s="2"/>
      <c r="X134" s="2"/>
      <c r="Y134" s="2"/>
    </row>
    <row r="135">
      <c r="A135" s="5" t="str">
        <f>IFERROR(__xludf.DUMMYFUNCTION("LEFT(A134, 4) &amp; TEXT(VALUE(REGEXEXTRACT(A134, ""\d+"")) + 1, ""0000"")"),"MAN-0133")</f>
        <v>MAN-0133</v>
      </c>
      <c r="B135" s="3" t="s">
        <v>18</v>
      </c>
      <c r="C135" s="3" t="s">
        <v>231</v>
      </c>
      <c r="D135" s="2" t="str">
        <f t="shared" si="1"/>
        <v>NARIZ MÁGICO INVISÍVEL | D</v>
      </c>
      <c r="E135" s="3" t="s">
        <v>76</v>
      </c>
      <c r="F135" s="3" t="s">
        <v>29</v>
      </c>
      <c r="G135" s="3" t="s">
        <v>214</v>
      </c>
      <c r="H135" s="3" t="s">
        <v>225</v>
      </c>
      <c r="I135" s="3">
        <v>4.0</v>
      </c>
      <c r="J135" s="3" t="s">
        <v>23</v>
      </c>
      <c r="K135" s="3" t="s">
        <v>34</v>
      </c>
      <c r="L135" s="6" t="s">
        <v>72</v>
      </c>
      <c r="M135" s="3" t="s">
        <v>66</v>
      </c>
      <c r="N135" s="3" t="s">
        <v>133</v>
      </c>
      <c r="O135" s="3" t="s">
        <v>131</v>
      </c>
      <c r="P135" s="3" t="s">
        <v>232</v>
      </c>
      <c r="Q135" s="3" t="s">
        <v>233</v>
      </c>
      <c r="R135" s="2"/>
      <c r="S135" s="2"/>
      <c r="T135" s="2"/>
      <c r="U135" s="2"/>
      <c r="V135" s="2"/>
      <c r="W135" s="2"/>
      <c r="X135" s="2"/>
      <c r="Y135" s="2"/>
    </row>
    <row r="136">
      <c r="A136" s="5" t="str">
        <f>IFERROR(__xludf.DUMMYFUNCTION("LEFT(A135, 4) &amp; TEXT(VALUE(REGEXEXTRACT(A135, ""\d+"")) + 1, ""0000"")"),"MAN-0134")</f>
        <v>MAN-0134</v>
      </c>
      <c r="B136" s="3" t="s">
        <v>18</v>
      </c>
      <c r="C136" s="3" t="s">
        <v>231</v>
      </c>
      <c r="D136" s="2" t="str">
        <f t="shared" si="1"/>
        <v>NARIZ MÁGICO INVISÍVEL | D</v>
      </c>
      <c r="E136" s="3" t="s">
        <v>76</v>
      </c>
      <c r="F136" s="3" t="s">
        <v>30</v>
      </c>
      <c r="G136" s="3" t="s">
        <v>214</v>
      </c>
      <c r="H136" s="3" t="s">
        <v>225</v>
      </c>
      <c r="I136" s="3">
        <v>4.0</v>
      </c>
      <c r="J136" s="3" t="s">
        <v>23</v>
      </c>
      <c r="K136" s="3" t="s">
        <v>34</v>
      </c>
      <c r="L136" s="6" t="s">
        <v>39</v>
      </c>
      <c r="M136" s="3" t="s">
        <v>66</v>
      </c>
      <c r="N136" s="3" t="s">
        <v>135</v>
      </c>
      <c r="O136" s="3" t="s">
        <v>136</v>
      </c>
      <c r="P136" s="3" t="s">
        <v>232</v>
      </c>
      <c r="Q136" s="3" t="s">
        <v>233</v>
      </c>
      <c r="R136" s="2"/>
      <c r="S136" s="2"/>
      <c r="T136" s="2"/>
      <c r="U136" s="2"/>
      <c r="V136" s="2"/>
      <c r="W136" s="2"/>
      <c r="X136" s="2"/>
      <c r="Y136" s="2"/>
    </row>
    <row r="137">
      <c r="A137" s="5" t="str">
        <f>IFERROR(__xludf.DUMMYFUNCTION("LEFT(A136, 4) &amp; TEXT(VALUE(REGEXEXTRACT(A136, ""\d+"")) + 1, ""0000"")"),"MAN-0135")</f>
        <v>MAN-0135</v>
      </c>
      <c r="B137" s="3" t="s">
        <v>18</v>
      </c>
      <c r="C137" s="3" t="s">
        <v>234</v>
      </c>
      <c r="D137" s="2" t="str">
        <f t="shared" si="1"/>
        <v>OLHO MÁGICO | M</v>
      </c>
      <c r="E137" s="3" t="s">
        <v>48</v>
      </c>
      <c r="F137" s="3" t="s">
        <v>21</v>
      </c>
      <c r="G137" s="3" t="s">
        <v>214</v>
      </c>
      <c r="H137" s="3" t="s">
        <v>33</v>
      </c>
      <c r="I137" s="3">
        <v>2.0</v>
      </c>
      <c r="J137" s="3" t="s">
        <v>23</v>
      </c>
      <c r="K137" s="3" t="s">
        <v>34</v>
      </c>
      <c r="L137" s="6" t="s">
        <v>65</v>
      </c>
      <c r="M137" s="3" t="s">
        <v>66</v>
      </c>
      <c r="N137" s="3" t="s">
        <v>125</v>
      </c>
      <c r="O137" s="3" t="s">
        <v>126</v>
      </c>
      <c r="P137" s="3" t="s">
        <v>235</v>
      </c>
      <c r="Q137" s="3" t="s">
        <v>236</v>
      </c>
      <c r="R137" s="2"/>
      <c r="S137" s="2"/>
      <c r="T137" s="2"/>
      <c r="U137" s="2"/>
      <c r="V137" s="2"/>
      <c r="W137" s="2"/>
      <c r="X137" s="2"/>
      <c r="Y137" s="2"/>
    </row>
    <row r="138">
      <c r="A138" s="5" t="str">
        <f>IFERROR(__xludf.DUMMYFUNCTION("LEFT(A137, 4) &amp; TEXT(VALUE(REGEXEXTRACT(A137, ""\d+"")) + 1, ""0000"")"),"MAN-0136")</f>
        <v>MAN-0136</v>
      </c>
      <c r="B138" s="3" t="s">
        <v>18</v>
      </c>
      <c r="C138" s="3" t="s">
        <v>234</v>
      </c>
      <c r="D138" s="2" t="str">
        <f t="shared" si="1"/>
        <v>OLHO MÁGICO | M</v>
      </c>
      <c r="E138" s="3" t="s">
        <v>48</v>
      </c>
      <c r="F138" s="3" t="s">
        <v>27</v>
      </c>
      <c r="G138" s="3" t="s">
        <v>214</v>
      </c>
      <c r="H138" s="3" t="s">
        <v>33</v>
      </c>
      <c r="I138" s="3">
        <v>2.0</v>
      </c>
      <c r="J138" s="3" t="s">
        <v>23</v>
      </c>
      <c r="K138" s="3" t="s">
        <v>34</v>
      </c>
      <c r="L138" s="6" t="s">
        <v>35</v>
      </c>
      <c r="M138" s="3" t="s">
        <v>66</v>
      </c>
      <c r="N138" s="3" t="s">
        <v>128</v>
      </c>
      <c r="O138" s="3" t="s">
        <v>126</v>
      </c>
      <c r="P138" s="3" t="s">
        <v>235</v>
      </c>
      <c r="Q138" s="3" t="s">
        <v>236</v>
      </c>
      <c r="R138" s="2"/>
      <c r="S138" s="2"/>
      <c r="T138" s="2"/>
      <c r="U138" s="2"/>
      <c r="V138" s="2"/>
      <c r="W138" s="2"/>
      <c r="X138" s="2"/>
      <c r="Y138" s="2"/>
    </row>
    <row r="139">
      <c r="A139" s="5" t="str">
        <f>IFERROR(__xludf.DUMMYFUNCTION("LEFT(A138, 4) &amp; TEXT(VALUE(REGEXEXTRACT(A138, ""\d+"")) + 1, ""0000"")"),"MAN-0137")</f>
        <v>MAN-0137</v>
      </c>
      <c r="B139" s="3" t="s">
        <v>18</v>
      </c>
      <c r="C139" s="3" t="s">
        <v>234</v>
      </c>
      <c r="D139" s="2" t="str">
        <f t="shared" si="1"/>
        <v>OLHO MÁGICO | M</v>
      </c>
      <c r="E139" s="3" t="s">
        <v>48</v>
      </c>
      <c r="F139" s="3" t="s">
        <v>28</v>
      </c>
      <c r="G139" s="3" t="s">
        <v>214</v>
      </c>
      <c r="H139" s="3" t="s">
        <v>33</v>
      </c>
      <c r="I139" s="3">
        <v>2.0</v>
      </c>
      <c r="J139" s="3" t="s">
        <v>23</v>
      </c>
      <c r="K139" s="3" t="s">
        <v>34</v>
      </c>
      <c r="L139" s="6" t="s">
        <v>70</v>
      </c>
      <c r="M139" s="3" t="s">
        <v>66</v>
      </c>
      <c r="N139" s="3" t="s">
        <v>130</v>
      </c>
      <c r="O139" s="3" t="s">
        <v>131</v>
      </c>
      <c r="P139" s="3" t="s">
        <v>235</v>
      </c>
      <c r="Q139" s="3" t="s">
        <v>236</v>
      </c>
      <c r="R139" s="2"/>
      <c r="S139" s="2"/>
      <c r="T139" s="2"/>
      <c r="U139" s="2"/>
      <c r="V139" s="2"/>
      <c r="W139" s="2"/>
      <c r="X139" s="2"/>
      <c r="Y139" s="2"/>
    </row>
    <row r="140">
      <c r="A140" s="5" t="str">
        <f>IFERROR(__xludf.DUMMYFUNCTION("LEFT(A139, 4) &amp; TEXT(VALUE(REGEXEXTRACT(A139, ""\d+"")) + 1, ""0000"")"),"MAN-0138")</f>
        <v>MAN-0138</v>
      </c>
      <c r="B140" s="3" t="s">
        <v>18</v>
      </c>
      <c r="C140" s="3" t="s">
        <v>234</v>
      </c>
      <c r="D140" s="2" t="str">
        <f t="shared" si="1"/>
        <v>OLHO MÁGICO | M</v>
      </c>
      <c r="E140" s="3" t="s">
        <v>48</v>
      </c>
      <c r="F140" s="3" t="s">
        <v>29</v>
      </c>
      <c r="G140" s="3" t="s">
        <v>214</v>
      </c>
      <c r="H140" s="3" t="s">
        <v>33</v>
      </c>
      <c r="I140" s="3">
        <v>2.0</v>
      </c>
      <c r="J140" s="3" t="s">
        <v>23</v>
      </c>
      <c r="K140" s="3" t="s">
        <v>34</v>
      </c>
      <c r="L140" s="6" t="s">
        <v>72</v>
      </c>
      <c r="M140" s="3" t="s">
        <v>66</v>
      </c>
      <c r="N140" s="3" t="s">
        <v>133</v>
      </c>
      <c r="O140" s="3" t="s">
        <v>131</v>
      </c>
      <c r="P140" s="3" t="s">
        <v>235</v>
      </c>
      <c r="Q140" s="3" t="s">
        <v>236</v>
      </c>
      <c r="R140" s="2"/>
      <c r="S140" s="2"/>
      <c r="T140" s="2"/>
      <c r="U140" s="2"/>
      <c r="V140" s="2"/>
      <c r="W140" s="2"/>
      <c r="X140" s="2"/>
      <c r="Y140" s="2"/>
    </row>
    <row r="141">
      <c r="A141" s="5" t="str">
        <f>IFERROR(__xludf.DUMMYFUNCTION("LEFT(A140, 4) &amp; TEXT(VALUE(REGEXEXTRACT(A140, ""\d+"")) + 1, ""0000"")"),"MAN-0139")</f>
        <v>MAN-0139</v>
      </c>
      <c r="B141" s="3" t="s">
        <v>18</v>
      </c>
      <c r="C141" s="3" t="s">
        <v>234</v>
      </c>
      <c r="D141" s="2" t="str">
        <f t="shared" si="1"/>
        <v>OLHO MÁGICO | M</v>
      </c>
      <c r="E141" s="3" t="s">
        <v>48</v>
      </c>
      <c r="F141" s="3" t="s">
        <v>30</v>
      </c>
      <c r="G141" s="3" t="s">
        <v>214</v>
      </c>
      <c r="H141" s="3" t="s">
        <v>33</v>
      </c>
      <c r="I141" s="3">
        <v>2.0</v>
      </c>
      <c r="J141" s="3" t="s">
        <v>23</v>
      </c>
      <c r="K141" s="3" t="s">
        <v>34</v>
      </c>
      <c r="L141" s="6" t="s">
        <v>39</v>
      </c>
      <c r="M141" s="3" t="s">
        <v>66</v>
      </c>
      <c r="N141" s="3" t="s">
        <v>135</v>
      </c>
      <c r="O141" s="3" t="s">
        <v>136</v>
      </c>
      <c r="P141" s="3" t="s">
        <v>235</v>
      </c>
      <c r="Q141" s="3" t="s">
        <v>236</v>
      </c>
      <c r="R141" s="2"/>
      <c r="S141" s="2"/>
      <c r="T141" s="2"/>
      <c r="U141" s="2"/>
      <c r="V141" s="2"/>
      <c r="W141" s="2"/>
      <c r="X141" s="2"/>
      <c r="Y141" s="2"/>
    </row>
    <row r="142">
      <c r="A142" s="5" t="str">
        <f>IFERROR(__xludf.DUMMYFUNCTION("LEFT(A141, 4) &amp; TEXT(VALUE(REGEXEXTRACT(A141, ""\d+"")) + 1, ""0000"")"),"MAN-0140")</f>
        <v>MAN-0140</v>
      </c>
      <c r="B142" s="3" t="s">
        <v>18</v>
      </c>
      <c r="C142" s="3" t="s">
        <v>237</v>
      </c>
      <c r="D142" s="2" t="str">
        <f t="shared" si="1"/>
        <v>OLHO MÁGICO INVISÍVEL | D</v>
      </c>
      <c r="E142" s="3" t="s">
        <v>76</v>
      </c>
      <c r="F142" s="3" t="s">
        <v>21</v>
      </c>
      <c r="G142" s="3" t="s">
        <v>214</v>
      </c>
      <c r="H142" s="3" t="s">
        <v>225</v>
      </c>
      <c r="I142" s="3">
        <v>4.0</v>
      </c>
      <c r="J142" s="3" t="s">
        <v>23</v>
      </c>
      <c r="K142" s="3" t="s">
        <v>34</v>
      </c>
      <c r="L142" s="6" t="s">
        <v>65</v>
      </c>
      <c r="M142" s="3" t="s">
        <v>66</v>
      </c>
      <c r="N142" s="3" t="s">
        <v>125</v>
      </c>
      <c r="O142" s="3" t="s">
        <v>126</v>
      </c>
      <c r="P142" s="8" t="s">
        <v>238</v>
      </c>
      <c r="Q142" s="8" t="s">
        <v>239</v>
      </c>
      <c r="R142" s="2"/>
      <c r="S142" s="2"/>
      <c r="T142" s="2"/>
      <c r="U142" s="2"/>
      <c r="V142" s="2"/>
      <c r="W142" s="2"/>
      <c r="X142" s="2"/>
      <c r="Y142" s="2"/>
    </row>
    <row r="143">
      <c r="A143" s="5" t="str">
        <f>IFERROR(__xludf.DUMMYFUNCTION("LEFT(A142, 4) &amp; TEXT(VALUE(REGEXEXTRACT(A142, ""\d+"")) + 1, ""0000"")"),"MAN-0141")</f>
        <v>MAN-0141</v>
      </c>
      <c r="B143" s="3" t="s">
        <v>18</v>
      </c>
      <c r="C143" s="3" t="s">
        <v>237</v>
      </c>
      <c r="D143" s="2" t="str">
        <f t="shared" si="1"/>
        <v>OLHO MÁGICO INVISÍVEL | D</v>
      </c>
      <c r="E143" s="3" t="s">
        <v>76</v>
      </c>
      <c r="F143" s="3" t="s">
        <v>27</v>
      </c>
      <c r="G143" s="3" t="s">
        <v>214</v>
      </c>
      <c r="H143" s="3" t="s">
        <v>225</v>
      </c>
      <c r="I143" s="3">
        <v>4.0</v>
      </c>
      <c r="J143" s="3" t="s">
        <v>23</v>
      </c>
      <c r="K143" s="3" t="s">
        <v>34</v>
      </c>
      <c r="L143" s="6" t="s">
        <v>35</v>
      </c>
      <c r="M143" s="3" t="s">
        <v>66</v>
      </c>
      <c r="N143" s="3" t="s">
        <v>128</v>
      </c>
      <c r="O143" s="3" t="s">
        <v>126</v>
      </c>
      <c r="P143" s="8" t="s">
        <v>238</v>
      </c>
      <c r="Q143" s="8" t="s">
        <v>239</v>
      </c>
      <c r="R143" s="2"/>
      <c r="S143" s="2"/>
      <c r="T143" s="2"/>
      <c r="U143" s="2"/>
      <c r="V143" s="2"/>
      <c r="W143" s="2"/>
      <c r="X143" s="2"/>
      <c r="Y143" s="2"/>
    </row>
    <row r="144">
      <c r="A144" s="5" t="str">
        <f>IFERROR(__xludf.DUMMYFUNCTION("LEFT(A143, 4) &amp; TEXT(VALUE(REGEXEXTRACT(A143, ""\d+"")) + 1, ""0000"")"),"MAN-0142")</f>
        <v>MAN-0142</v>
      </c>
      <c r="B144" s="3" t="s">
        <v>18</v>
      </c>
      <c r="C144" s="3" t="s">
        <v>237</v>
      </c>
      <c r="D144" s="2" t="str">
        <f t="shared" si="1"/>
        <v>OLHO MÁGICO INVISÍVEL | D</v>
      </c>
      <c r="E144" s="3" t="s">
        <v>76</v>
      </c>
      <c r="F144" s="3" t="s">
        <v>28</v>
      </c>
      <c r="G144" s="3" t="s">
        <v>214</v>
      </c>
      <c r="H144" s="3" t="s">
        <v>225</v>
      </c>
      <c r="I144" s="3">
        <v>4.0</v>
      </c>
      <c r="J144" s="3" t="s">
        <v>23</v>
      </c>
      <c r="K144" s="3" t="s">
        <v>34</v>
      </c>
      <c r="L144" s="6" t="s">
        <v>70</v>
      </c>
      <c r="M144" s="3" t="s">
        <v>66</v>
      </c>
      <c r="N144" s="3" t="s">
        <v>130</v>
      </c>
      <c r="O144" s="3" t="s">
        <v>131</v>
      </c>
      <c r="P144" s="8" t="s">
        <v>238</v>
      </c>
      <c r="Q144" s="8" t="s">
        <v>239</v>
      </c>
      <c r="R144" s="2"/>
      <c r="S144" s="2"/>
      <c r="T144" s="2"/>
      <c r="U144" s="2"/>
      <c r="V144" s="2"/>
      <c r="W144" s="2"/>
      <c r="X144" s="2"/>
      <c r="Y144" s="2"/>
    </row>
    <row r="145">
      <c r="A145" s="5" t="str">
        <f>IFERROR(__xludf.DUMMYFUNCTION("LEFT(A144, 4) &amp; TEXT(VALUE(REGEXEXTRACT(A144, ""\d+"")) + 1, ""0000"")"),"MAN-0143")</f>
        <v>MAN-0143</v>
      </c>
      <c r="B145" s="3" t="s">
        <v>18</v>
      </c>
      <c r="C145" s="3" t="s">
        <v>237</v>
      </c>
      <c r="D145" s="2" t="str">
        <f t="shared" si="1"/>
        <v>OLHO MÁGICO INVISÍVEL | D</v>
      </c>
      <c r="E145" s="3" t="s">
        <v>76</v>
      </c>
      <c r="F145" s="3" t="s">
        <v>29</v>
      </c>
      <c r="G145" s="3" t="s">
        <v>214</v>
      </c>
      <c r="H145" s="3" t="s">
        <v>225</v>
      </c>
      <c r="I145" s="3">
        <v>4.0</v>
      </c>
      <c r="J145" s="3" t="s">
        <v>23</v>
      </c>
      <c r="K145" s="3" t="s">
        <v>34</v>
      </c>
      <c r="L145" s="6" t="s">
        <v>72</v>
      </c>
      <c r="M145" s="3" t="s">
        <v>66</v>
      </c>
      <c r="N145" s="3" t="s">
        <v>133</v>
      </c>
      <c r="O145" s="3" t="s">
        <v>131</v>
      </c>
      <c r="P145" s="8" t="s">
        <v>238</v>
      </c>
      <c r="Q145" s="8" t="s">
        <v>239</v>
      </c>
      <c r="R145" s="2"/>
      <c r="S145" s="2"/>
      <c r="T145" s="2"/>
      <c r="U145" s="2"/>
      <c r="V145" s="2"/>
      <c r="W145" s="2"/>
      <c r="X145" s="2"/>
      <c r="Y145" s="2"/>
    </row>
    <row r="146">
      <c r="A146" s="5" t="str">
        <f>IFERROR(__xludf.DUMMYFUNCTION("LEFT(A145, 4) &amp; TEXT(VALUE(REGEXEXTRACT(A145, ""\d+"")) + 1, ""0000"")"),"MAN-0144")</f>
        <v>MAN-0144</v>
      </c>
      <c r="B146" s="3" t="s">
        <v>18</v>
      </c>
      <c r="C146" s="3" t="s">
        <v>237</v>
      </c>
      <c r="D146" s="2" t="str">
        <f t="shared" si="1"/>
        <v>OLHO MÁGICO INVISÍVEL | D</v>
      </c>
      <c r="E146" s="3" t="s">
        <v>76</v>
      </c>
      <c r="F146" s="3" t="s">
        <v>30</v>
      </c>
      <c r="G146" s="3" t="s">
        <v>214</v>
      </c>
      <c r="H146" s="3" t="s">
        <v>225</v>
      </c>
      <c r="I146" s="3">
        <v>4.0</v>
      </c>
      <c r="J146" s="3" t="s">
        <v>23</v>
      </c>
      <c r="K146" s="3" t="s">
        <v>34</v>
      </c>
      <c r="L146" s="6" t="s">
        <v>39</v>
      </c>
      <c r="M146" s="3" t="s">
        <v>66</v>
      </c>
      <c r="N146" s="3" t="s">
        <v>135</v>
      </c>
      <c r="O146" s="3" t="s">
        <v>136</v>
      </c>
      <c r="P146" s="8" t="s">
        <v>238</v>
      </c>
      <c r="Q146" s="8" t="s">
        <v>239</v>
      </c>
      <c r="R146" s="2"/>
      <c r="S146" s="2"/>
      <c r="T146" s="2"/>
      <c r="U146" s="2"/>
      <c r="V146" s="2"/>
      <c r="W146" s="2"/>
      <c r="X146" s="2"/>
      <c r="Y146" s="2"/>
    </row>
    <row r="147">
      <c r="A147" s="5" t="str">
        <f>IFERROR(__xludf.DUMMYFUNCTION("LEFT(A146, 4) &amp; TEXT(VALUE(REGEXEXTRACT(A146, ""\d+"")) + 1, ""0000"")"),"MAN-0145")</f>
        <v>MAN-0145</v>
      </c>
      <c r="B147" s="3" t="s">
        <v>18</v>
      </c>
      <c r="C147" s="3" t="s">
        <v>240</v>
      </c>
      <c r="D147" s="2" t="str">
        <f t="shared" si="1"/>
        <v>ORELHA MÁGICA | M</v>
      </c>
      <c r="E147" s="3" t="s">
        <v>48</v>
      </c>
      <c r="F147" s="3" t="s">
        <v>21</v>
      </c>
      <c r="G147" s="3" t="s">
        <v>214</v>
      </c>
      <c r="H147" s="3" t="s">
        <v>33</v>
      </c>
      <c r="I147" s="3">
        <v>2.0</v>
      </c>
      <c r="J147" s="3" t="s">
        <v>23</v>
      </c>
      <c r="K147" s="3" t="s">
        <v>34</v>
      </c>
      <c r="L147" s="6" t="s">
        <v>65</v>
      </c>
      <c r="M147" s="3" t="s">
        <v>66</v>
      </c>
      <c r="N147" s="3" t="s">
        <v>125</v>
      </c>
      <c r="O147" s="3" t="s">
        <v>126</v>
      </c>
      <c r="P147" s="3" t="s">
        <v>241</v>
      </c>
      <c r="Q147" s="3" t="s">
        <v>242</v>
      </c>
      <c r="R147" s="2"/>
      <c r="S147" s="2"/>
      <c r="T147" s="2"/>
      <c r="U147" s="2"/>
      <c r="V147" s="2"/>
      <c r="W147" s="2"/>
      <c r="X147" s="2"/>
      <c r="Y147" s="2"/>
    </row>
    <row r="148">
      <c r="A148" s="5" t="str">
        <f>IFERROR(__xludf.DUMMYFUNCTION("LEFT(A147, 4) &amp; TEXT(VALUE(REGEXEXTRACT(A147, ""\d+"")) + 1, ""0000"")"),"MAN-0146")</f>
        <v>MAN-0146</v>
      </c>
      <c r="B148" s="3" t="s">
        <v>18</v>
      </c>
      <c r="C148" s="3" t="s">
        <v>240</v>
      </c>
      <c r="D148" s="2" t="str">
        <f t="shared" si="1"/>
        <v>ORELHA MÁGICA | M</v>
      </c>
      <c r="E148" s="3" t="s">
        <v>48</v>
      </c>
      <c r="F148" s="3" t="s">
        <v>27</v>
      </c>
      <c r="G148" s="3" t="s">
        <v>214</v>
      </c>
      <c r="H148" s="3" t="s">
        <v>33</v>
      </c>
      <c r="I148" s="3">
        <v>2.0</v>
      </c>
      <c r="J148" s="3" t="s">
        <v>23</v>
      </c>
      <c r="K148" s="3" t="s">
        <v>34</v>
      </c>
      <c r="L148" s="6" t="s">
        <v>35</v>
      </c>
      <c r="M148" s="3" t="s">
        <v>66</v>
      </c>
      <c r="N148" s="3" t="s">
        <v>128</v>
      </c>
      <c r="O148" s="3" t="s">
        <v>126</v>
      </c>
      <c r="P148" s="3" t="s">
        <v>241</v>
      </c>
      <c r="Q148" s="3" t="s">
        <v>242</v>
      </c>
      <c r="R148" s="2"/>
      <c r="S148" s="2"/>
      <c r="T148" s="2"/>
      <c r="U148" s="2"/>
      <c r="V148" s="2"/>
      <c r="W148" s="2"/>
      <c r="X148" s="2"/>
      <c r="Y148" s="2"/>
    </row>
    <row r="149">
      <c r="A149" s="5" t="str">
        <f>IFERROR(__xludf.DUMMYFUNCTION("LEFT(A148, 4) &amp; TEXT(VALUE(REGEXEXTRACT(A148, ""\d+"")) + 1, ""0000"")"),"MAN-0147")</f>
        <v>MAN-0147</v>
      </c>
      <c r="B149" s="3" t="s">
        <v>18</v>
      </c>
      <c r="C149" s="3" t="s">
        <v>240</v>
      </c>
      <c r="D149" s="2" t="str">
        <f t="shared" si="1"/>
        <v>ORELHA MÁGICA | M</v>
      </c>
      <c r="E149" s="3" t="s">
        <v>48</v>
      </c>
      <c r="F149" s="3" t="s">
        <v>28</v>
      </c>
      <c r="G149" s="3" t="s">
        <v>214</v>
      </c>
      <c r="H149" s="3" t="s">
        <v>33</v>
      </c>
      <c r="I149" s="3">
        <v>2.0</v>
      </c>
      <c r="J149" s="3" t="s">
        <v>23</v>
      </c>
      <c r="K149" s="3" t="s">
        <v>34</v>
      </c>
      <c r="L149" s="6" t="s">
        <v>70</v>
      </c>
      <c r="M149" s="3" t="s">
        <v>66</v>
      </c>
      <c r="N149" s="3" t="s">
        <v>130</v>
      </c>
      <c r="O149" s="3" t="s">
        <v>131</v>
      </c>
      <c r="P149" s="3" t="s">
        <v>241</v>
      </c>
      <c r="Q149" s="3" t="s">
        <v>242</v>
      </c>
      <c r="R149" s="2"/>
      <c r="S149" s="2"/>
      <c r="T149" s="2"/>
      <c r="U149" s="2"/>
      <c r="V149" s="2"/>
      <c r="W149" s="2"/>
      <c r="X149" s="2"/>
      <c r="Y149" s="2"/>
    </row>
    <row r="150">
      <c r="A150" s="5" t="str">
        <f>IFERROR(__xludf.DUMMYFUNCTION("LEFT(A149, 4) &amp; TEXT(VALUE(REGEXEXTRACT(A149, ""\d+"")) + 1, ""0000"")"),"MAN-0148")</f>
        <v>MAN-0148</v>
      </c>
      <c r="B150" s="3" t="s">
        <v>18</v>
      </c>
      <c r="C150" s="3" t="s">
        <v>240</v>
      </c>
      <c r="D150" s="2" t="str">
        <f t="shared" si="1"/>
        <v>ORELHA MÁGICA | M</v>
      </c>
      <c r="E150" s="3" t="s">
        <v>48</v>
      </c>
      <c r="F150" s="3" t="s">
        <v>29</v>
      </c>
      <c r="G150" s="3" t="s">
        <v>214</v>
      </c>
      <c r="H150" s="3" t="s">
        <v>33</v>
      </c>
      <c r="I150" s="3">
        <v>2.0</v>
      </c>
      <c r="J150" s="3" t="s">
        <v>23</v>
      </c>
      <c r="K150" s="3" t="s">
        <v>34</v>
      </c>
      <c r="L150" s="6" t="s">
        <v>72</v>
      </c>
      <c r="M150" s="3" t="s">
        <v>66</v>
      </c>
      <c r="N150" s="3" t="s">
        <v>133</v>
      </c>
      <c r="O150" s="3" t="s">
        <v>131</v>
      </c>
      <c r="P150" s="3" t="s">
        <v>241</v>
      </c>
      <c r="Q150" s="3" t="s">
        <v>242</v>
      </c>
      <c r="R150" s="2"/>
      <c r="S150" s="2"/>
      <c r="T150" s="2"/>
      <c r="U150" s="2"/>
      <c r="V150" s="2"/>
      <c r="W150" s="2"/>
      <c r="X150" s="2"/>
      <c r="Y150" s="2"/>
    </row>
    <row r="151">
      <c r="A151" s="5" t="str">
        <f>IFERROR(__xludf.DUMMYFUNCTION("LEFT(A150, 4) &amp; TEXT(VALUE(REGEXEXTRACT(A150, ""\d+"")) + 1, ""0000"")"),"MAN-0149")</f>
        <v>MAN-0149</v>
      </c>
      <c r="B151" s="3" t="s">
        <v>18</v>
      </c>
      <c r="C151" s="3" t="s">
        <v>240</v>
      </c>
      <c r="D151" s="2" t="str">
        <f t="shared" si="1"/>
        <v>ORELHA MÁGICA | M</v>
      </c>
      <c r="E151" s="3" t="s">
        <v>48</v>
      </c>
      <c r="F151" s="3" t="s">
        <v>30</v>
      </c>
      <c r="G151" s="3" t="s">
        <v>214</v>
      </c>
      <c r="H151" s="3" t="s">
        <v>33</v>
      </c>
      <c r="I151" s="3">
        <v>2.0</v>
      </c>
      <c r="J151" s="3" t="s">
        <v>23</v>
      </c>
      <c r="K151" s="3" t="s">
        <v>34</v>
      </c>
      <c r="L151" s="6" t="s">
        <v>39</v>
      </c>
      <c r="M151" s="3" t="s">
        <v>66</v>
      </c>
      <c r="N151" s="3" t="s">
        <v>135</v>
      </c>
      <c r="O151" s="3" t="s">
        <v>136</v>
      </c>
      <c r="P151" s="3" t="s">
        <v>241</v>
      </c>
      <c r="Q151" s="3" t="s">
        <v>242</v>
      </c>
      <c r="R151" s="2"/>
      <c r="S151" s="2"/>
      <c r="T151" s="2"/>
      <c r="U151" s="2"/>
      <c r="V151" s="2"/>
      <c r="W151" s="2"/>
      <c r="X151" s="2"/>
      <c r="Y151" s="2"/>
    </row>
    <row r="152">
      <c r="A152" s="5" t="str">
        <f>IFERROR(__xludf.DUMMYFUNCTION("LEFT(A151, 4) &amp; TEXT(VALUE(REGEXEXTRACT(A151, ""\d+"")) + 1, ""0000"")"),"MAN-0150")</f>
        <v>MAN-0150</v>
      </c>
      <c r="B152" s="3" t="s">
        <v>18</v>
      </c>
      <c r="C152" s="3" t="s">
        <v>243</v>
      </c>
      <c r="D152" s="2" t="str">
        <f t="shared" si="1"/>
        <v>ORELHA MÁGICA INVISÍVEL | D</v>
      </c>
      <c r="E152" s="3" t="s">
        <v>76</v>
      </c>
      <c r="F152" s="3" t="s">
        <v>21</v>
      </c>
      <c r="G152" s="3" t="s">
        <v>214</v>
      </c>
      <c r="H152" s="3" t="s">
        <v>225</v>
      </c>
      <c r="I152" s="3">
        <v>4.0</v>
      </c>
      <c r="J152" s="3" t="s">
        <v>23</v>
      </c>
      <c r="K152" s="3" t="s">
        <v>34</v>
      </c>
      <c r="L152" s="6" t="s">
        <v>65</v>
      </c>
      <c r="M152" s="3" t="s">
        <v>66</v>
      </c>
      <c r="N152" s="3" t="s">
        <v>125</v>
      </c>
      <c r="O152" s="3" t="s">
        <v>126</v>
      </c>
      <c r="P152" s="3" t="s">
        <v>244</v>
      </c>
      <c r="Q152" s="3" t="s">
        <v>245</v>
      </c>
      <c r="R152" s="2"/>
      <c r="S152" s="2"/>
      <c r="T152" s="2"/>
      <c r="U152" s="2"/>
      <c r="V152" s="2"/>
      <c r="W152" s="2"/>
      <c r="X152" s="2"/>
      <c r="Y152" s="2"/>
    </row>
    <row r="153">
      <c r="A153" s="5" t="str">
        <f>IFERROR(__xludf.DUMMYFUNCTION("LEFT(A152, 4) &amp; TEXT(VALUE(REGEXEXTRACT(A152, ""\d+"")) + 1, ""0000"")"),"MAN-0151")</f>
        <v>MAN-0151</v>
      </c>
      <c r="B153" s="3" t="s">
        <v>18</v>
      </c>
      <c r="C153" s="3" t="s">
        <v>243</v>
      </c>
      <c r="D153" s="2" t="str">
        <f t="shared" si="1"/>
        <v>ORELHA MÁGICA INVISÍVEL | D</v>
      </c>
      <c r="E153" s="3" t="s">
        <v>76</v>
      </c>
      <c r="F153" s="3" t="s">
        <v>27</v>
      </c>
      <c r="G153" s="3" t="s">
        <v>214</v>
      </c>
      <c r="H153" s="3" t="s">
        <v>225</v>
      </c>
      <c r="I153" s="3">
        <v>4.0</v>
      </c>
      <c r="J153" s="3" t="s">
        <v>23</v>
      </c>
      <c r="K153" s="3" t="s">
        <v>34</v>
      </c>
      <c r="L153" s="6" t="s">
        <v>35</v>
      </c>
      <c r="M153" s="3" t="s">
        <v>66</v>
      </c>
      <c r="N153" s="3" t="s">
        <v>128</v>
      </c>
      <c r="O153" s="3" t="s">
        <v>126</v>
      </c>
      <c r="P153" s="3" t="s">
        <v>244</v>
      </c>
      <c r="Q153" s="3" t="s">
        <v>245</v>
      </c>
      <c r="R153" s="2"/>
      <c r="S153" s="2"/>
      <c r="T153" s="2"/>
      <c r="U153" s="2"/>
      <c r="V153" s="2"/>
      <c r="W153" s="2"/>
      <c r="X153" s="2"/>
      <c r="Y153" s="2"/>
    </row>
    <row r="154">
      <c r="A154" s="5" t="str">
        <f>IFERROR(__xludf.DUMMYFUNCTION("LEFT(A153, 4) &amp; TEXT(VALUE(REGEXEXTRACT(A153, ""\d+"")) + 1, ""0000"")"),"MAN-0152")</f>
        <v>MAN-0152</v>
      </c>
      <c r="B154" s="3" t="s">
        <v>18</v>
      </c>
      <c r="C154" s="3" t="s">
        <v>243</v>
      </c>
      <c r="D154" s="2" t="str">
        <f t="shared" si="1"/>
        <v>ORELHA MÁGICA INVISÍVEL | D</v>
      </c>
      <c r="E154" s="3" t="s">
        <v>76</v>
      </c>
      <c r="F154" s="3" t="s">
        <v>28</v>
      </c>
      <c r="G154" s="3" t="s">
        <v>214</v>
      </c>
      <c r="H154" s="3" t="s">
        <v>225</v>
      </c>
      <c r="I154" s="3">
        <v>4.0</v>
      </c>
      <c r="J154" s="3" t="s">
        <v>23</v>
      </c>
      <c r="K154" s="3" t="s">
        <v>34</v>
      </c>
      <c r="L154" s="6" t="s">
        <v>70</v>
      </c>
      <c r="M154" s="3" t="s">
        <v>66</v>
      </c>
      <c r="N154" s="3" t="s">
        <v>130</v>
      </c>
      <c r="O154" s="3" t="s">
        <v>131</v>
      </c>
      <c r="P154" s="3" t="s">
        <v>244</v>
      </c>
      <c r="Q154" s="3" t="s">
        <v>245</v>
      </c>
      <c r="R154" s="2"/>
      <c r="S154" s="2"/>
      <c r="T154" s="2"/>
      <c r="U154" s="2"/>
      <c r="V154" s="2"/>
      <c r="W154" s="2"/>
      <c r="X154" s="2"/>
      <c r="Y154" s="2"/>
    </row>
    <row r="155">
      <c r="A155" s="5" t="str">
        <f>IFERROR(__xludf.DUMMYFUNCTION("LEFT(A154, 4) &amp; TEXT(VALUE(REGEXEXTRACT(A154, ""\d+"")) + 1, ""0000"")"),"MAN-0153")</f>
        <v>MAN-0153</v>
      </c>
      <c r="B155" s="3" t="s">
        <v>18</v>
      </c>
      <c r="C155" s="3" t="s">
        <v>243</v>
      </c>
      <c r="D155" s="2" t="str">
        <f t="shared" si="1"/>
        <v>ORELHA MÁGICA INVISÍVEL | D</v>
      </c>
      <c r="E155" s="3" t="s">
        <v>76</v>
      </c>
      <c r="F155" s="3" t="s">
        <v>29</v>
      </c>
      <c r="G155" s="3" t="s">
        <v>214</v>
      </c>
      <c r="H155" s="3" t="s">
        <v>225</v>
      </c>
      <c r="I155" s="3">
        <v>4.0</v>
      </c>
      <c r="J155" s="3" t="s">
        <v>23</v>
      </c>
      <c r="K155" s="3" t="s">
        <v>34</v>
      </c>
      <c r="L155" s="6" t="s">
        <v>72</v>
      </c>
      <c r="M155" s="3" t="s">
        <v>66</v>
      </c>
      <c r="N155" s="3" t="s">
        <v>133</v>
      </c>
      <c r="O155" s="3" t="s">
        <v>131</v>
      </c>
      <c r="P155" s="3" t="s">
        <v>244</v>
      </c>
      <c r="Q155" s="3" t="s">
        <v>245</v>
      </c>
      <c r="R155" s="2"/>
      <c r="S155" s="2"/>
      <c r="T155" s="2"/>
      <c r="U155" s="2"/>
      <c r="V155" s="2"/>
      <c r="W155" s="2"/>
      <c r="X155" s="2"/>
      <c r="Y155" s="2"/>
    </row>
    <row r="156">
      <c r="A156" s="5" t="str">
        <f>IFERROR(__xludf.DUMMYFUNCTION("LEFT(A155, 4) &amp; TEXT(VALUE(REGEXEXTRACT(A155, ""\d+"")) + 1, ""0000"")"),"MAN-0154")</f>
        <v>MAN-0154</v>
      </c>
      <c r="B156" s="3" t="s">
        <v>18</v>
      </c>
      <c r="C156" s="3" t="s">
        <v>243</v>
      </c>
      <c r="D156" s="2" t="str">
        <f t="shared" si="1"/>
        <v>ORELHA MÁGICA INVISÍVEL | D</v>
      </c>
      <c r="E156" s="3" t="s">
        <v>76</v>
      </c>
      <c r="F156" s="3" t="s">
        <v>30</v>
      </c>
      <c r="G156" s="3" t="s">
        <v>214</v>
      </c>
      <c r="H156" s="3" t="s">
        <v>225</v>
      </c>
      <c r="I156" s="3">
        <v>4.0</v>
      </c>
      <c r="J156" s="3" t="s">
        <v>23</v>
      </c>
      <c r="K156" s="3" t="s">
        <v>34</v>
      </c>
      <c r="L156" s="6" t="s">
        <v>39</v>
      </c>
      <c r="M156" s="3" t="s">
        <v>66</v>
      </c>
      <c r="N156" s="3" t="s">
        <v>135</v>
      </c>
      <c r="O156" s="3" t="s">
        <v>136</v>
      </c>
      <c r="P156" s="3" t="s">
        <v>244</v>
      </c>
      <c r="Q156" s="3" t="s">
        <v>245</v>
      </c>
      <c r="R156" s="2"/>
      <c r="S156" s="2"/>
      <c r="T156" s="2"/>
      <c r="U156" s="2"/>
      <c r="V156" s="2"/>
      <c r="W156" s="2"/>
      <c r="X156" s="2"/>
      <c r="Y156" s="2"/>
    </row>
    <row r="157">
      <c r="A157" s="5" t="str">
        <f>IFERROR(__xludf.DUMMYFUNCTION("LEFT(A156, 4) &amp; TEXT(VALUE(REGEXEXTRACT(A156, ""\d+"")) + 1, ""0000"")"),"MAN-0155")</f>
        <v>MAN-0155</v>
      </c>
      <c r="B157" s="3" t="s">
        <v>18</v>
      </c>
      <c r="C157" s="3" t="s">
        <v>246</v>
      </c>
      <c r="D157" s="2" t="str">
        <f t="shared" si="1"/>
        <v>PAREDE ARCANA | D</v>
      </c>
      <c r="E157" s="3" t="s">
        <v>76</v>
      </c>
      <c r="F157" s="3" t="s">
        <v>21</v>
      </c>
      <c r="G157" s="3" t="s">
        <v>214</v>
      </c>
      <c r="H157" s="3" t="s">
        <v>33</v>
      </c>
      <c r="I157" s="3">
        <v>8.0</v>
      </c>
      <c r="J157" s="3" t="s">
        <v>50</v>
      </c>
      <c r="K157" s="3" t="s">
        <v>247</v>
      </c>
      <c r="L157" s="6" t="s">
        <v>65</v>
      </c>
      <c r="M157" s="3" t="s">
        <v>65</v>
      </c>
      <c r="N157" s="3" t="s">
        <v>248</v>
      </c>
      <c r="O157" s="3" t="s">
        <v>126</v>
      </c>
      <c r="P157" s="3" t="s">
        <v>249</v>
      </c>
      <c r="Q157" s="3"/>
      <c r="R157" s="2"/>
      <c r="S157" s="2"/>
      <c r="T157" s="2"/>
      <c r="U157" s="2"/>
      <c r="V157" s="2"/>
      <c r="W157" s="2"/>
      <c r="X157" s="2"/>
      <c r="Y157" s="2"/>
    </row>
    <row r="158">
      <c r="A158" s="5" t="str">
        <f>IFERROR(__xludf.DUMMYFUNCTION("LEFT(A157, 4) &amp; TEXT(VALUE(REGEXEXTRACT(A157, ""\d+"")) + 1, ""0000"")"),"MAN-0156")</f>
        <v>MAN-0156</v>
      </c>
      <c r="B158" s="3" t="s">
        <v>18</v>
      </c>
      <c r="C158" s="3" t="s">
        <v>246</v>
      </c>
      <c r="D158" s="2" t="str">
        <f t="shared" si="1"/>
        <v>PAREDE ARCANA | D</v>
      </c>
      <c r="E158" s="3" t="s">
        <v>76</v>
      </c>
      <c r="F158" s="3" t="s">
        <v>27</v>
      </c>
      <c r="G158" s="3" t="s">
        <v>214</v>
      </c>
      <c r="H158" s="3" t="s">
        <v>33</v>
      </c>
      <c r="I158" s="3">
        <v>8.0</v>
      </c>
      <c r="J158" s="3" t="s">
        <v>50</v>
      </c>
      <c r="K158" s="3" t="s">
        <v>247</v>
      </c>
      <c r="L158" s="6" t="s">
        <v>35</v>
      </c>
      <c r="M158" s="3" t="s">
        <v>65</v>
      </c>
      <c r="N158" s="3" t="s">
        <v>250</v>
      </c>
      <c r="O158" s="3" t="s">
        <v>126</v>
      </c>
      <c r="P158" s="3" t="s">
        <v>249</v>
      </c>
      <c r="Q158" s="2"/>
      <c r="R158" s="2"/>
      <c r="S158" s="2"/>
      <c r="T158" s="2"/>
      <c r="U158" s="2"/>
      <c r="V158" s="2"/>
      <c r="W158" s="2"/>
      <c r="X158" s="2"/>
      <c r="Y158" s="2"/>
    </row>
    <row r="159">
      <c r="A159" s="5" t="str">
        <f>IFERROR(__xludf.DUMMYFUNCTION("LEFT(A158, 4) &amp; TEXT(VALUE(REGEXEXTRACT(A158, ""\d+"")) + 1, ""0000"")"),"MAN-0157")</f>
        <v>MAN-0157</v>
      </c>
      <c r="B159" s="3" t="s">
        <v>18</v>
      </c>
      <c r="C159" s="3" t="s">
        <v>246</v>
      </c>
      <c r="D159" s="2" t="str">
        <f t="shared" si="1"/>
        <v>PAREDE ARCANA | D</v>
      </c>
      <c r="E159" s="3" t="s">
        <v>76</v>
      </c>
      <c r="F159" s="3" t="s">
        <v>28</v>
      </c>
      <c r="G159" s="3" t="s">
        <v>214</v>
      </c>
      <c r="H159" s="3" t="s">
        <v>33</v>
      </c>
      <c r="I159" s="3">
        <v>8.0</v>
      </c>
      <c r="J159" s="3" t="s">
        <v>50</v>
      </c>
      <c r="K159" s="3" t="s">
        <v>247</v>
      </c>
      <c r="L159" s="6" t="s">
        <v>70</v>
      </c>
      <c r="M159" s="3" t="s">
        <v>35</v>
      </c>
      <c r="N159" s="3" t="s">
        <v>251</v>
      </c>
      <c r="O159" s="3" t="s">
        <v>131</v>
      </c>
      <c r="P159" s="3" t="s">
        <v>249</v>
      </c>
      <c r="Q159" s="2"/>
      <c r="R159" s="2"/>
      <c r="S159" s="2"/>
      <c r="T159" s="2"/>
      <c r="U159" s="2"/>
      <c r="V159" s="2"/>
      <c r="W159" s="2"/>
      <c r="X159" s="2"/>
      <c r="Y159" s="2"/>
    </row>
    <row r="160">
      <c r="A160" s="5" t="str">
        <f>IFERROR(__xludf.DUMMYFUNCTION("LEFT(A159, 4) &amp; TEXT(VALUE(REGEXEXTRACT(A159, ""\d+"")) + 1, ""0000"")"),"MAN-0158")</f>
        <v>MAN-0158</v>
      </c>
      <c r="B160" s="3" t="s">
        <v>18</v>
      </c>
      <c r="C160" s="3" t="s">
        <v>246</v>
      </c>
      <c r="D160" s="2" t="str">
        <f t="shared" si="1"/>
        <v>PAREDE ARCANA | D</v>
      </c>
      <c r="E160" s="3" t="s">
        <v>76</v>
      </c>
      <c r="F160" s="3" t="s">
        <v>29</v>
      </c>
      <c r="G160" s="3" t="s">
        <v>214</v>
      </c>
      <c r="H160" s="3" t="s">
        <v>33</v>
      </c>
      <c r="I160" s="3">
        <v>8.0</v>
      </c>
      <c r="J160" s="3" t="s">
        <v>50</v>
      </c>
      <c r="K160" s="3" t="s">
        <v>247</v>
      </c>
      <c r="L160" s="6" t="s">
        <v>72</v>
      </c>
      <c r="M160" s="3" t="s">
        <v>35</v>
      </c>
      <c r="N160" s="3" t="s">
        <v>252</v>
      </c>
      <c r="O160" s="3" t="s">
        <v>131</v>
      </c>
      <c r="P160" s="3" t="s">
        <v>249</v>
      </c>
      <c r="Q160" s="2"/>
      <c r="R160" s="2"/>
      <c r="S160" s="2"/>
      <c r="T160" s="2"/>
      <c r="U160" s="2"/>
      <c r="V160" s="2"/>
      <c r="W160" s="2"/>
      <c r="X160" s="2"/>
      <c r="Y160" s="2"/>
    </row>
    <row r="161">
      <c r="A161" s="5" t="str">
        <f>IFERROR(__xludf.DUMMYFUNCTION("LEFT(A160, 4) &amp; TEXT(VALUE(REGEXEXTRACT(A160, ""\d+"")) + 1, ""0000"")"),"MAN-0159")</f>
        <v>MAN-0159</v>
      </c>
      <c r="B161" s="3" t="s">
        <v>18</v>
      </c>
      <c r="C161" s="3" t="s">
        <v>246</v>
      </c>
      <c r="D161" s="2" t="str">
        <f t="shared" si="1"/>
        <v>PAREDE ARCANA | D</v>
      </c>
      <c r="E161" s="3" t="s">
        <v>76</v>
      </c>
      <c r="F161" s="3" t="s">
        <v>30</v>
      </c>
      <c r="G161" s="3" t="s">
        <v>214</v>
      </c>
      <c r="H161" s="3" t="s">
        <v>33</v>
      </c>
      <c r="I161" s="3">
        <v>8.0</v>
      </c>
      <c r="J161" s="3" t="s">
        <v>23</v>
      </c>
      <c r="K161" s="3" t="s">
        <v>247</v>
      </c>
      <c r="L161" s="6" t="s">
        <v>39</v>
      </c>
      <c r="M161" s="3" t="s">
        <v>253</v>
      </c>
      <c r="N161" s="3" t="s">
        <v>254</v>
      </c>
      <c r="O161" s="3" t="s">
        <v>136</v>
      </c>
      <c r="P161" s="3" t="s">
        <v>249</v>
      </c>
      <c r="Q161" s="2"/>
      <c r="R161" s="2"/>
      <c r="S161" s="2"/>
      <c r="T161" s="2"/>
      <c r="U161" s="2"/>
      <c r="V161" s="2"/>
      <c r="W161" s="2"/>
      <c r="X161" s="2"/>
      <c r="Y161" s="2"/>
    </row>
    <row r="162">
      <c r="A162" s="5" t="str">
        <f>IFERROR(__xludf.DUMMYFUNCTION("LEFT(A161, 4) &amp; TEXT(VALUE(REGEXEXTRACT(A161, ""\d+"")) + 1, ""0000"")"),"MAN-0160")</f>
        <v>MAN-0160</v>
      </c>
      <c r="B162" s="3" t="s">
        <v>18</v>
      </c>
      <c r="C162" s="3" t="s">
        <v>255</v>
      </c>
      <c r="D162" s="2" t="str">
        <f t="shared" si="1"/>
        <v>MÍSSIL ARCANO | F</v>
      </c>
      <c r="E162" s="3" t="s">
        <v>20</v>
      </c>
      <c r="F162" s="3" t="s">
        <v>21</v>
      </c>
      <c r="G162" s="3" t="s">
        <v>146</v>
      </c>
      <c r="H162" s="3" t="s">
        <v>33</v>
      </c>
      <c r="I162" s="3">
        <v>2.0</v>
      </c>
      <c r="J162" s="3" t="s">
        <v>23</v>
      </c>
      <c r="K162" s="3" t="s">
        <v>95</v>
      </c>
      <c r="L162" s="3" t="s">
        <v>147</v>
      </c>
      <c r="M162" s="3" t="s">
        <v>66</v>
      </c>
      <c r="N162" s="3" t="s">
        <v>256</v>
      </c>
      <c r="O162" s="3" t="s">
        <v>23</v>
      </c>
      <c r="P162" s="3" t="s">
        <v>257</v>
      </c>
      <c r="Q162" s="2"/>
      <c r="R162" s="2"/>
      <c r="S162" s="2"/>
      <c r="T162" s="2"/>
      <c r="U162" s="2"/>
      <c r="V162" s="2"/>
      <c r="W162" s="2"/>
      <c r="X162" s="2"/>
      <c r="Y162" s="2"/>
    </row>
    <row r="163">
      <c r="A163" s="5" t="str">
        <f>IFERROR(__xludf.DUMMYFUNCTION("LEFT(A162, 4) &amp; TEXT(VALUE(REGEXEXTRACT(A162, ""\d+"")) + 1, ""0000"")"),"MAN-0161")</f>
        <v>MAN-0161</v>
      </c>
      <c r="B163" s="3" t="s">
        <v>18</v>
      </c>
      <c r="C163" s="3" t="s">
        <v>255</v>
      </c>
      <c r="D163" s="2" t="str">
        <f t="shared" si="1"/>
        <v>MÍSSIL ARCANO | F</v>
      </c>
      <c r="E163" s="3" t="s">
        <v>20</v>
      </c>
      <c r="F163" s="3" t="s">
        <v>27</v>
      </c>
      <c r="G163" s="3" t="s">
        <v>146</v>
      </c>
      <c r="H163" s="3" t="s">
        <v>33</v>
      </c>
      <c r="I163" s="3">
        <v>2.0</v>
      </c>
      <c r="J163" s="3" t="s">
        <v>23</v>
      </c>
      <c r="K163" s="3" t="s">
        <v>95</v>
      </c>
      <c r="L163" s="3" t="s">
        <v>151</v>
      </c>
      <c r="M163" s="3" t="s">
        <v>66</v>
      </c>
      <c r="N163" s="3" t="s">
        <v>256</v>
      </c>
      <c r="O163" s="3" t="s">
        <v>23</v>
      </c>
      <c r="P163" s="3" t="s">
        <v>258</v>
      </c>
      <c r="Q163" s="2"/>
      <c r="R163" s="2"/>
      <c r="S163" s="2"/>
      <c r="T163" s="2"/>
      <c r="U163" s="2"/>
      <c r="V163" s="2"/>
      <c r="W163" s="2"/>
      <c r="X163" s="2"/>
      <c r="Y163" s="2"/>
    </row>
    <row r="164">
      <c r="A164" s="5" t="str">
        <f>IFERROR(__xludf.DUMMYFUNCTION("LEFT(A163, 4) &amp; TEXT(VALUE(REGEXEXTRACT(A163, ""\d+"")) + 1, ""0000"")"),"MAN-0162")</f>
        <v>MAN-0162</v>
      </c>
      <c r="B164" s="3" t="s">
        <v>18</v>
      </c>
      <c r="C164" s="3" t="s">
        <v>255</v>
      </c>
      <c r="D164" s="2" t="str">
        <f t="shared" si="1"/>
        <v>MÍSSIL ARCANO | F</v>
      </c>
      <c r="E164" s="3" t="s">
        <v>20</v>
      </c>
      <c r="F164" s="3" t="s">
        <v>28</v>
      </c>
      <c r="G164" s="3" t="s">
        <v>146</v>
      </c>
      <c r="H164" s="3" t="s">
        <v>33</v>
      </c>
      <c r="I164" s="3">
        <v>2.0</v>
      </c>
      <c r="J164" s="3" t="s">
        <v>23</v>
      </c>
      <c r="K164" s="3" t="s">
        <v>95</v>
      </c>
      <c r="L164" s="3" t="s">
        <v>152</v>
      </c>
      <c r="M164" s="3" t="s">
        <v>66</v>
      </c>
      <c r="N164" s="3" t="s">
        <v>153</v>
      </c>
      <c r="O164" s="3" t="s">
        <v>23</v>
      </c>
      <c r="P164" s="3" t="s">
        <v>259</v>
      </c>
      <c r="Q164" s="2"/>
      <c r="R164" s="2"/>
      <c r="S164" s="2"/>
      <c r="T164" s="2"/>
      <c r="U164" s="2"/>
      <c r="V164" s="2"/>
      <c r="W164" s="2"/>
      <c r="X164" s="2"/>
      <c r="Y164" s="2"/>
    </row>
    <row r="165">
      <c r="A165" s="5" t="str">
        <f>IFERROR(__xludf.DUMMYFUNCTION("LEFT(A164, 4) &amp; TEXT(VALUE(REGEXEXTRACT(A164, ""\d+"")) + 1, ""0000"")"),"MAN-0163")</f>
        <v>MAN-0163</v>
      </c>
      <c r="B165" s="3" t="s">
        <v>18</v>
      </c>
      <c r="C165" s="3" t="s">
        <v>255</v>
      </c>
      <c r="D165" s="2" t="str">
        <f t="shared" si="1"/>
        <v>MÍSSIL ARCANO | F</v>
      </c>
      <c r="E165" s="3" t="s">
        <v>20</v>
      </c>
      <c r="F165" s="3" t="s">
        <v>29</v>
      </c>
      <c r="G165" s="3" t="s">
        <v>146</v>
      </c>
      <c r="H165" s="3" t="s">
        <v>33</v>
      </c>
      <c r="I165" s="3">
        <v>2.0</v>
      </c>
      <c r="J165" s="3" t="s">
        <v>23</v>
      </c>
      <c r="K165" s="3" t="s">
        <v>95</v>
      </c>
      <c r="L165" s="3" t="s">
        <v>155</v>
      </c>
      <c r="M165" s="3" t="s">
        <v>66</v>
      </c>
      <c r="N165" s="3" t="s">
        <v>153</v>
      </c>
      <c r="O165" s="3" t="s">
        <v>23</v>
      </c>
      <c r="P165" s="3" t="s">
        <v>260</v>
      </c>
      <c r="Q165" s="2"/>
      <c r="R165" s="2"/>
      <c r="S165" s="2"/>
      <c r="T165" s="2"/>
      <c r="U165" s="2"/>
      <c r="V165" s="2"/>
      <c r="W165" s="2"/>
      <c r="X165" s="2"/>
      <c r="Y165" s="2"/>
    </row>
    <row r="166">
      <c r="A166" s="5" t="str">
        <f>IFERROR(__xludf.DUMMYFUNCTION("LEFT(A165, 4) &amp; TEXT(VALUE(REGEXEXTRACT(A165, ""\d+"")) + 1, ""0000"")"),"MAN-0164")</f>
        <v>MAN-0164</v>
      </c>
      <c r="B166" s="3" t="s">
        <v>18</v>
      </c>
      <c r="C166" s="3" t="s">
        <v>255</v>
      </c>
      <c r="D166" s="2" t="str">
        <f t="shared" si="1"/>
        <v>MÍSSIL ARCANO | F</v>
      </c>
      <c r="E166" s="3" t="s">
        <v>20</v>
      </c>
      <c r="F166" s="3" t="s">
        <v>30</v>
      </c>
      <c r="G166" s="3" t="s">
        <v>146</v>
      </c>
      <c r="H166" s="3" t="s">
        <v>33</v>
      </c>
      <c r="I166" s="3">
        <v>2.0</v>
      </c>
      <c r="J166" s="3" t="s">
        <v>23</v>
      </c>
      <c r="K166" s="3" t="s">
        <v>95</v>
      </c>
      <c r="L166" s="3" t="s">
        <v>156</v>
      </c>
      <c r="M166" s="3" t="s">
        <v>66</v>
      </c>
      <c r="N166" s="3" t="s">
        <v>157</v>
      </c>
      <c r="O166" s="3" t="s">
        <v>23</v>
      </c>
      <c r="P166" s="3" t="s">
        <v>261</v>
      </c>
      <c r="Q166" s="2"/>
      <c r="R166" s="2"/>
      <c r="S166" s="2"/>
      <c r="T166" s="2"/>
      <c r="U166" s="2"/>
      <c r="V166" s="2"/>
      <c r="W166" s="2"/>
      <c r="X166" s="2"/>
      <c r="Y166" s="2"/>
    </row>
    <row r="167">
      <c r="A167" s="5" t="str">
        <f>IFERROR(__xludf.DUMMYFUNCTION("LEFT(A166, 4) &amp; TEXT(VALUE(REGEXEXTRACT(A166, ""\d+"")) + 1, ""0000"")"),"MAN-0165")</f>
        <v>MAN-0165</v>
      </c>
      <c r="B167" s="3" t="s">
        <v>18</v>
      </c>
      <c r="C167" s="3" t="s">
        <v>262</v>
      </c>
      <c r="D167" s="2" t="str">
        <f t="shared" si="1"/>
        <v>ARCO ARCANO | MD</v>
      </c>
      <c r="E167" s="3" t="s">
        <v>94</v>
      </c>
      <c r="F167" s="3" t="s">
        <v>21</v>
      </c>
      <c r="G167" s="3" t="s">
        <v>214</v>
      </c>
      <c r="H167" s="3" t="s">
        <v>33</v>
      </c>
      <c r="I167" s="3">
        <v>16.0</v>
      </c>
      <c r="J167" s="3" t="s">
        <v>50</v>
      </c>
      <c r="K167" s="3" t="s">
        <v>24</v>
      </c>
      <c r="L167" s="3" t="s">
        <v>156</v>
      </c>
      <c r="M167" s="3" t="s">
        <v>66</v>
      </c>
      <c r="N167" s="3" t="s">
        <v>263</v>
      </c>
      <c r="O167" s="3" t="s">
        <v>264</v>
      </c>
      <c r="P167" s="3" t="s">
        <v>265</v>
      </c>
      <c r="Q167" s="3" t="s">
        <v>266</v>
      </c>
      <c r="R167" s="2"/>
      <c r="S167" s="2"/>
      <c r="T167" s="2"/>
      <c r="U167" s="2"/>
      <c r="V167" s="2"/>
      <c r="W167" s="2"/>
      <c r="X167" s="2"/>
      <c r="Y167" s="2"/>
    </row>
    <row r="168">
      <c r="A168" s="5" t="str">
        <f>IFERROR(__xludf.DUMMYFUNCTION("LEFT(A167, 4) &amp; TEXT(VALUE(REGEXEXTRACT(A167, ""\d+"")) + 1, ""0000"")"),"MAN-0166")</f>
        <v>MAN-0166</v>
      </c>
      <c r="B168" s="3" t="s">
        <v>18</v>
      </c>
      <c r="C168" s="3" t="s">
        <v>262</v>
      </c>
      <c r="D168" s="2" t="str">
        <f t="shared" si="1"/>
        <v>ARCO ARCANO | MD</v>
      </c>
      <c r="E168" s="3" t="s">
        <v>94</v>
      </c>
      <c r="F168" s="3" t="s">
        <v>27</v>
      </c>
      <c r="G168" s="3" t="s">
        <v>214</v>
      </c>
      <c r="H168" s="3" t="s">
        <v>33</v>
      </c>
      <c r="I168" s="3">
        <v>16.0</v>
      </c>
      <c r="J168" s="3" t="s">
        <v>50</v>
      </c>
      <c r="K168" s="3" t="s">
        <v>24</v>
      </c>
      <c r="L168" s="3" t="s">
        <v>267</v>
      </c>
      <c r="M168" s="3" t="s">
        <v>66</v>
      </c>
      <c r="N168" s="3" t="s">
        <v>263</v>
      </c>
      <c r="O168" s="3" t="s">
        <v>264</v>
      </c>
      <c r="P168" s="3" t="s">
        <v>268</v>
      </c>
      <c r="Q168" s="3" t="s">
        <v>266</v>
      </c>
      <c r="R168" s="2"/>
      <c r="S168" s="2"/>
      <c r="T168" s="2"/>
      <c r="U168" s="2"/>
      <c r="V168" s="2"/>
      <c r="W168" s="2"/>
      <c r="X168" s="2"/>
      <c r="Y168" s="2"/>
    </row>
    <row r="169">
      <c r="A169" s="5" t="str">
        <f>IFERROR(__xludf.DUMMYFUNCTION("LEFT(A168, 4) &amp; TEXT(VALUE(REGEXEXTRACT(A168, ""\d+"")) + 1, ""0000"")"),"MAN-0167")</f>
        <v>MAN-0167</v>
      </c>
      <c r="B169" s="3" t="s">
        <v>18</v>
      </c>
      <c r="C169" s="3" t="s">
        <v>262</v>
      </c>
      <c r="D169" s="2" t="str">
        <f t="shared" si="1"/>
        <v>ARCO ARCANO | MD</v>
      </c>
      <c r="E169" s="3" t="s">
        <v>94</v>
      </c>
      <c r="F169" s="3" t="s">
        <v>28</v>
      </c>
      <c r="G169" s="3" t="s">
        <v>214</v>
      </c>
      <c r="H169" s="3" t="s">
        <v>33</v>
      </c>
      <c r="I169" s="3">
        <v>16.0</v>
      </c>
      <c r="J169" s="3" t="s">
        <v>50</v>
      </c>
      <c r="K169" s="3" t="s">
        <v>24</v>
      </c>
      <c r="L169" s="3" t="s">
        <v>269</v>
      </c>
      <c r="M169" s="3" t="s">
        <v>66</v>
      </c>
      <c r="N169" s="3" t="s">
        <v>263</v>
      </c>
      <c r="O169" s="3" t="s">
        <v>264</v>
      </c>
      <c r="P169" s="3" t="s">
        <v>270</v>
      </c>
      <c r="Q169" s="3" t="s">
        <v>266</v>
      </c>
      <c r="R169" s="2"/>
      <c r="S169" s="2"/>
      <c r="T169" s="2"/>
      <c r="U169" s="2"/>
      <c r="V169" s="2"/>
      <c r="W169" s="2"/>
      <c r="X169" s="2"/>
      <c r="Y169" s="2"/>
    </row>
    <row r="170">
      <c r="A170" s="5" t="str">
        <f>IFERROR(__xludf.DUMMYFUNCTION("LEFT(A169, 4) &amp; TEXT(VALUE(REGEXEXTRACT(A169, ""\d+"")) + 1, ""0000"")"),"MAN-0168")</f>
        <v>MAN-0168</v>
      </c>
      <c r="B170" s="3" t="s">
        <v>18</v>
      </c>
      <c r="C170" s="3" t="s">
        <v>262</v>
      </c>
      <c r="D170" s="2" t="str">
        <f t="shared" si="1"/>
        <v>ARCO ARCANO | MD</v>
      </c>
      <c r="E170" s="3" t="s">
        <v>94</v>
      </c>
      <c r="F170" s="3" t="s">
        <v>29</v>
      </c>
      <c r="G170" s="3" t="s">
        <v>214</v>
      </c>
      <c r="H170" s="3" t="s">
        <v>33</v>
      </c>
      <c r="I170" s="3">
        <v>16.0</v>
      </c>
      <c r="J170" s="3" t="s">
        <v>50</v>
      </c>
      <c r="K170" s="3" t="s">
        <v>24</v>
      </c>
      <c r="L170" s="3" t="s">
        <v>271</v>
      </c>
      <c r="M170" s="3" t="s">
        <v>66</v>
      </c>
      <c r="N170" s="3" t="s">
        <v>263</v>
      </c>
      <c r="O170" s="3" t="s">
        <v>264</v>
      </c>
      <c r="P170" s="3" t="s">
        <v>272</v>
      </c>
      <c r="Q170" s="3" t="s">
        <v>266</v>
      </c>
      <c r="R170" s="2"/>
      <c r="S170" s="2"/>
      <c r="T170" s="2"/>
      <c r="U170" s="2"/>
      <c r="V170" s="2"/>
      <c r="W170" s="2"/>
      <c r="X170" s="2"/>
      <c r="Y170" s="2"/>
    </row>
    <row r="171">
      <c r="A171" s="5" t="str">
        <f>IFERROR(__xludf.DUMMYFUNCTION("LEFT(A170, 4) &amp; TEXT(VALUE(REGEXEXTRACT(A170, ""\d+"")) + 1, ""0000"")"),"MAN-0169")</f>
        <v>MAN-0169</v>
      </c>
      <c r="B171" s="3" t="s">
        <v>18</v>
      </c>
      <c r="C171" s="3" t="s">
        <v>262</v>
      </c>
      <c r="D171" s="2" t="str">
        <f t="shared" si="1"/>
        <v>ARCO ARCANO | MD</v>
      </c>
      <c r="E171" s="3" t="s">
        <v>94</v>
      </c>
      <c r="F171" s="3" t="s">
        <v>30</v>
      </c>
      <c r="G171" s="3" t="s">
        <v>214</v>
      </c>
      <c r="H171" s="3" t="s">
        <v>33</v>
      </c>
      <c r="I171" s="3">
        <v>16.0</v>
      </c>
      <c r="J171" s="3" t="s">
        <v>23</v>
      </c>
      <c r="K171" s="3" t="s">
        <v>24</v>
      </c>
      <c r="L171" s="3" t="s">
        <v>273</v>
      </c>
      <c r="M171" s="3" t="s">
        <v>66</v>
      </c>
      <c r="N171" s="3" t="s">
        <v>263</v>
      </c>
      <c r="O171" s="3" t="s">
        <v>264</v>
      </c>
      <c r="P171" s="3" t="s">
        <v>274</v>
      </c>
      <c r="Q171" s="3" t="s">
        <v>266</v>
      </c>
      <c r="R171" s="2"/>
      <c r="S171" s="2"/>
      <c r="T171" s="2"/>
      <c r="U171" s="2"/>
      <c r="V171" s="2"/>
      <c r="W171" s="2"/>
      <c r="X171" s="2"/>
      <c r="Y171" s="2"/>
    </row>
    <row r="172">
      <c r="A172" s="5" t="str">
        <f>IFERROR(__xludf.DUMMYFUNCTION("LEFT(A171, 4) &amp; TEXT(VALUE(REGEXEXTRACT(A171, ""\d+"")) + 1, ""0000"")"),"MAN-0170")</f>
        <v>MAN-0170</v>
      </c>
      <c r="B172" s="3" t="s">
        <v>18</v>
      </c>
      <c r="C172" s="3" t="s">
        <v>275</v>
      </c>
      <c r="D172" s="2" t="str">
        <f t="shared" si="1"/>
        <v>LÂMINA ARCANA | D</v>
      </c>
      <c r="E172" s="3" t="s">
        <v>76</v>
      </c>
      <c r="F172" s="3" t="s">
        <v>21</v>
      </c>
      <c r="G172" s="3" t="s">
        <v>214</v>
      </c>
      <c r="H172" s="3" t="s">
        <v>33</v>
      </c>
      <c r="I172" s="3">
        <v>8.0</v>
      </c>
      <c r="J172" s="3" t="s">
        <v>50</v>
      </c>
      <c r="K172" s="3" t="s">
        <v>24</v>
      </c>
      <c r="L172" s="3" t="s">
        <v>117</v>
      </c>
      <c r="M172" s="3" t="s">
        <v>66</v>
      </c>
      <c r="N172" s="3" t="s">
        <v>276</v>
      </c>
      <c r="O172" s="3" t="s">
        <v>277</v>
      </c>
      <c r="P172" s="3" t="s">
        <v>278</v>
      </c>
      <c r="Q172" s="3" t="s">
        <v>279</v>
      </c>
      <c r="R172" s="2"/>
      <c r="S172" s="2"/>
      <c r="T172" s="2"/>
      <c r="U172" s="2"/>
      <c r="V172" s="2"/>
      <c r="W172" s="2"/>
      <c r="X172" s="2"/>
      <c r="Y172" s="2"/>
    </row>
    <row r="173">
      <c r="A173" s="5" t="str">
        <f>IFERROR(__xludf.DUMMYFUNCTION("LEFT(A172, 4) &amp; TEXT(VALUE(REGEXEXTRACT(A172, ""\d+"")) + 1, ""0000"")"),"MAN-0171")</f>
        <v>MAN-0171</v>
      </c>
      <c r="B173" s="3" t="s">
        <v>18</v>
      </c>
      <c r="C173" s="3" t="s">
        <v>275</v>
      </c>
      <c r="D173" s="2" t="str">
        <f t="shared" si="1"/>
        <v>LÂMINA ARCANA | D</v>
      </c>
      <c r="E173" s="3" t="s">
        <v>76</v>
      </c>
      <c r="F173" s="3" t="s">
        <v>27</v>
      </c>
      <c r="G173" s="3" t="s">
        <v>214</v>
      </c>
      <c r="H173" s="3" t="s">
        <v>33</v>
      </c>
      <c r="I173" s="3">
        <v>8.0</v>
      </c>
      <c r="J173" s="3" t="s">
        <v>50</v>
      </c>
      <c r="K173" s="3" t="s">
        <v>24</v>
      </c>
      <c r="L173" s="3" t="s">
        <v>117</v>
      </c>
      <c r="M173" s="3" t="s">
        <v>66</v>
      </c>
      <c r="N173" s="3" t="s">
        <v>280</v>
      </c>
      <c r="O173" s="3" t="s">
        <v>281</v>
      </c>
      <c r="P173" s="3" t="s">
        <v>278</v>
      </c>
      <c r="Q173" s="3" t="s">
        <v>279</v>
      </c>
      <c r="R173" s="2"/>
      <c r="S173" s="2"/>
      <c r="T173" s="2"/>
      <c r="U173" s="2"/>
      <c r="V173" s="2"/>
      <c r="W173" s="2"/>
      <c r="X173" s="2"/>
      <c r="Y173" s="2"/>
    </row>
    <row r="174">
      <c r="A174" s="5" t="str">
        <f>IFERROR(__xludf.DUMMYFUNCTION("LEFT(A173, 4) &amp; TEXT(VALUE(REGEXEXTRACT(A173, ""\d+"")) + 1, ""0000"")"),"MAN-0172")</f>
        <v>MAN-0172</v>
      </c>
      <c r="B174" s="3" t="s">
        <v>18</v>
      </c>
      <c r="C174" s="3" t="s">
        <v>275</v>
      </c>
      <c r="D174" s="2" t="str">
        <f t="shared" si="1"/>
        <v>LÂMINA ARCANA | D</v>
      </c>
      <c r="E174" s="3" t="s">
        <v>76</v>
      </c>
      <c r="F174" s="3" t="s">
        <v>28</v>
      </c>
      <c r="G174" s="3" t="s">
        <v>214</v>
      </c>
      <c r="H174" s="3" t="s">
        <v>33</v>
      </c>
      <c r="I174" s="3">
        <v>8.0</v>
      </c>
      <c r="J174" s="3" t="s">
        <v>50</v>
      </c>
      <c r="K174" s="3" t="s">
        <v>24</v>
      </c>
      <c r="L174" s="3" t="s">
        <v>117</v>
      </c>
      <c r="M174" s="3" t="s">
        <v>66</v>
      </c>
      <c r="N174" s="3" t="s">
        <v>282</v>
      </c>
      <c r="O174" s="3" t="s">
        <v>283</v>
      </c>
      <c r="P174" s="3" t="s">
        <v>278</v>
      </c>
      <c r="Q174" s="3" t="s">
        <v>279</v>
      </c>
      <c r="R174" s="2"/>
      <c r="S174" s="2"/>
      <c r="T174" s="2"/>
      <c r="U174" s="2"/>
      <c r="V174" s="2"/>
      <c r="W174" s="2"/>
      <c r="X174" s="2"/>
      <c r="Y174" s="2"/>
    </row>
    <row r="175">
      <c r="A175" s="5" t="str">
        <f>IFERROR(__xludf.DUMMYFUNCTION("LEFT(A174, 4) &amp; TEXT(VALUE(REGEXEXTRACT(A174, ""\d+"")) + 1, ""0000"")"),"MAN-0173")</f>
        <v>MAN-0173</v>
      </c>
      <c r="B175" s="3" t="s">
        <v>18</v>
      </c>
      <c r="C175" s="3" t="s">
        <v>275</v>
      </c>
      <c r="D175" s="2" t="str">
        <f t="shared" si="1"/>
        <v>LÂMINA ARCANA | D</v>
      </c>
      <c r="E175" s="3" t="s">
        <v>76</v>
      </c>
      <c r="F175" s="3" t="s">
        <v>29</v>
      </c>
      <c r="G175" s="3" t="s">
        <v>214</v>
      </c>
      <c r="H175" s="3" t="s">
        <v>33</v>
      </c>
      <c r="I175" s="3">
        <v>8.0</v>
      </c>
      <c r="J175" s="3" t="s">
        <v>50</v>
      </c>
      <c r="K175" s="3" t="s">
        <v>24</v>
      </c>
      <c r="L175" s="3" t="s">
        <v>117</v>
      </c>
      <c r="M175" s="3" t="s">
        <v>66</v>
      </c>
      <c r="N175" s="3" t="s">
        <v>284</v>
      </c>
      <c r="O175" s="3" t="s">
        <v>285</v>
      </c>
      <c r="P175" s="3" t="s">
        <v>278</v>
      </c>
      <c r="Q175" s="3" t="s">
        <v>279</v>
      </c>
      <c r="R175" s="2"/>
      <c r="S175" s="2"/>
      <c r="T175" s="2"/>
      <c r="U175" s="2"/>
      <c r="V175" s="2"/>
      <c r="W175" s="2"/>
      <c r="X175" s="2"/>
      <c r="Y175" s="2"/>
    </row>
    <row r="176">
      <c r="A176" s="5" t="str">
        <f>IFERROR(__xludf.DUMMYFUNCTION("LEFT(A175, 4) &amp; TEXT(VALUE(REGEXEXTRACT(A175, ""\d+"")) + 1, ""0000"")"),"MAN-0174")</f>
        <v>MAN-0174</v>
      </c>
      <c r="B176" s="3" t="s">
        <v>18</v>
      </c>
      <c r="C176" s="3" t="s">
        <v>275</v>
      </c>
      <c r="D176" s="2" t="str">
        <f t="shared" si="1"/>
        <v>LÂMINA ARCANA | D</v>
      </c>
      <c r="E176" s="3" t="s">
        <v>76</v>
      </c>
      <c r="F176" s="3" t="s">
        <v>30</v>
      </c>
      <c r="G176" s="3" t="s">
        <v>214</v>
      </c>
      <c r="H176" s="3" t="s">
        <v>33</v>
      </c>
      <c r="I176" s="3">
        <v>8.0</v>
      </c>
      <c r="J176" s="3" t="s">
        <v>23</v>
      </c>
      <c r="K176" s="3" t="s">
        <v>24</v>
      </c>
      <c r="L176" s="3" t="s">
        <v>117</v>
      </c>
      <c r="M176" s="3" t="s">
        <v>66</v>
      </c>
      <c r="N176" s="3" t="s">
        <v>286</v>
      </c>
      <c r="O176" s="3" t="s">
        <v>287</v>
      </c>
      <c r="P176" s="3" t="s">
        <v>278</v>
      </c>
      <c r="Q176" s="3" t="s">
        <v>279</v>
      </c>
      <c r="R176" s="2"/>
      <c r="S176" s="2"/>
      <c r="T176" s="2"/>
      <c r="U176" s="2"/>
      <c r="V176" s="2"/>
      <c r="W176" s="2"/>
      <c r="X176" s="2"/>
      <c r="Y176" s="2"/>
    </row>
    <row r="177">
      <c r="A177" s="5" t="str">
        <f>IFERROR(__xludf.DUMMYFUNCTION("LEFT(A176, 4) &amp; TEXT(VALUE(REGEXEXTRACT(A176, ""\d+"")) + 1, ""0000"")"),"MAN-0175")</f>
        <v>MAN-0175</v>
      </c>
      <c r="B177" s="3" t="s">
        <v>18</v>
      </c>
      <c r="C177" s="3" t="s">
        <v>288</v>
      </c>
      <c r="D177" s="2" t="str">
        <f t="shared" si="1"/>
        <v>CÃO DE GUARDA | M</v>
      </c>
      <c r="E177" s="3" t="s">
        <v>48</v>
      </c>
      <c r="F177" s="3" t="s">
        <v>21</v>
      </c>
      <c r="G177" s="3" t="s">
        <v>86</v>
      </c>
      <c r="H177" s="3" t="s">
        <v>33</v>
      </c>
      <c r="I177" s="3">
        <v>4.0</v>
      </c>
      <c r="J177" s="3" t="s">
        <v>50</v>
      </c>
      <c r="K177" s="3" t="s">
        <v>34</v>
      </c>
      <c r="L177" s="6" t="s">
        <v>65</v>
      </c>
      <c r="M177" s="3" t="s">
        <v>289</v>
      </c>
      <c r="N177" s="3" t="s">
        <v>290</v>
      </c>
      <c r="O177" s="3" t="s">
        <v>61</v>
      </c>
      <c r="P177" s="3" t="s">
        <v>291</v>
      </c>
      <c r="Q177" s="3" t="s">
        <v>292</v>
      </c>
      <c r="R177" s="2"/>
      <c r="S177" s="2"/>
      <c r="T177" s="2"/>
      <c r="U177" s="2"/>
      <c r="V177" s="2"/>
      <c r="W177" s="2"/>
      <c r="X177" s="2"/>
      <c r="Y177" s="2"/>
    </row>
    <row r="178">
      <c r="A178" s="5" t="str">
        <f>IFERROR(__xludf.DUMMYFUNCTION("LEFT(A177, 4) &amp; TEXT(VALUE(REGEXEXTRACT(A177, ""\d+"")) + 1, ""0000"")"),"MAN-0176")</f>
        <v>MAN-0176</v>
      </c>
      <c r="B178" s="3" t="s">
        <v>18</v>
      </c>
      <c r="C178" s="3" t="s">
        <v>288</v>
      </c>
      <c r="D178" s="2" t="str">
        <f t="shared" si="1"/>
        <v>CÃO DE GUARDA | M</v>
      </c>
      <c r="E178" s="3" t="s">
        <v>48</v>
      </c>
      <c r="F178" s="3" t="s">
        <v>27</v>
      </c>
      <c r="G178" s="3" t="s">
        <v>86</v>
      </c>
      <c r="H178" s="3" t="s">
        <v>33</v>
      </c>
      <c r="I178" s="3">
        <v>4.0</v>
      </c>
      <c r="J178" s="3" t="s">
        <v>50</v>
      </c>
      <c r="K178" s="3" t="s">
        <v>34</v>
      </c>
      <c r="L178" s="6" t="s">
        <v>35</v>
      </c>
      <c r="M178" s="3" t="s">
        <v>65</v>
      </c>
      <c r="N178" s="3" t="s">
        <v>293</v>
      </c>
      <c r="O178" s="3" t="s">
        <v>294</v>
      </c>
      <c r="P178" s="3" t="s">
        <v>291</v>
      </c>
      <c r="Q178" s="3" t="s">
        <v>292</v>
      </c>
      <c r="R178" s="2"/>
      <c r="S178" s="2"/>
      <c r="T178" s="2"/>
      <c r="U178" s="2"/>
      <c r="V178" s="2"/>
      <c r="W178" s="2"/>
      <c r="X178" s="2"/>
      <c r="Y178" s="2"/>
    </row>
    <row r="179">
      <c r="A179" s="5" t="str">
        <f>IFERROR(__xludf.DUMMYFUNCTION("LEFT(A178, 4) &amp; TEXT(VALUE(REGEXEXTRACT(A178, ""\d+"")) + 1, ""0000"")"),"MAN-0177")</f>
        <v>MAN-0177</v>
      </c>
      <c r="B179" s="3" t="s">
        <v>18</v>
      </c>
      <c r="C179" s="3" t="s">
        <v>288</v>
      </c>
      <c r="D179" s="2" t="str">
        <f t="shared" si="1"/>
        <v>CÃO DE GUARDA | M</v>
      </c>
      <c r="E179" s="3" t="s">
        <v>48</v>
      </c>
      <c r="F179" s="3" t="s">
        <v>28</v>
      </c>
      <c r="G179" s="3" t="s">
        <v>86</v>
      </c>
      <c r="H179" s="3" t="s">
        <v>33</v>
      </c>
      <c r="I179" s="3">
        <v>4.0</v>
      </c>
      <c r="J179" s="3" t="s">
        <v>50</v>
      </c>
      <c r="K179" s="3" t="s">
        <v>34</v>
      </c>
      <c r="L179" s="6" t="s">
        <v>70</v>
      </c>
      <c r="M179" s="3" t="s">
        <v>35</v>
      </c>
      <c r="N179" s="3" t="s">
        <v>295</v>
      </c>
      <c r="O179" s="3" t="s">
        <v>277</v>
      </c>
      <c r="P179" s="3" t="s">
        <v>291</v>
      </c>
      <c r="Q179" s="3" t="s">
        <v>292</v>
      </c>
      <c r="R179" s="2"/>
      <c r="S179" s="2"/>
      <c r="T179" s="2"/>
      <c r="U179" s="2"/>
      <c r="V179" s="2"/>
      <c r="W179" s="2"/>
      <c r="X179" s="2"/>
      <c r="Y179" s="2"/>
    </row>
    <row r="180">
      <c r="A180" s="5" t="str">
        <f>IFERROR(__xludf.DUMMYFUNCTION("LEFT(A179, 4) &amp; TEXT(VALUE(REGEXEXTRACT(A179, ""\d+"")) + 1, ""0000"")"),"MAN-0178")</f>
        <v>MAN-0178</v>
      </c>
      <c r="B180" s="3" t="s">
        <v>18</v>
      </c>
      <c r="C180" s="3" t="s">
        <v>288</v>
      </c>
      <c r="D180" s="2" t="str">
        <f t="shared" si="1"/>
        <v>CÃO DE GUARDA | M</v>
      </c>
      <c r="E180" s="3" t="s">
        <v>48</v>
      </c>
      <c r="F180" s="3" t="s">
        <v>29</v>
      </c>
      <c r="G180" s="3" t="s">
        <v>86</v>
      </c>
      <c r="H180" s="3" t="s">
        <v>33</v>
      </c>
      <c r="I180" s="3">
        <v>4.0</v>
      </c>
      <c r="J180" s="3" t="s">
        <v>50</v>
      </c>
      <c r="K180" s="3" t="s">
        <v>34</v>
      </c>
      <c r="L180" s="6" t="s">
        <v>72</v>
      </c>
      <c r="M180" s="3" t="s">
        <v>253</v>
      </c>
      <c r="N180" s="3" t="s">
        <v>296</v>
      </c>
      <c r="O180" s="3" t="s">
        <v>281</v>
      </c>
      <c r="P180" s="3" t="s">
        <v>291</v>
      </c>
      <c r="Q180" s="3" t="s">
        <v>292</v>
      </c>
      <c r="R180" s="2"/>
      <c r="S180" s="2"/>
      <c r="T180" s="2"/>
      <c r="U180" s="2"/>
      <c r="V180" s="2"/>
      <c r="W180" s="2"/>
      <c r="X180" s="2"/>
      <c r="Y180" s="2"/>
    </row>
    <row r="181">
      <c r="A181" s="5" t="str">
        <f>IFERROR(__xludf.DUMMYFUNCTION("LEFT(A180, 4) &amp; TEXT(VALUE(REGEXEXTRACT(A180, ""\d+"")) + 1, ""0000"")"),"MAN-0179")</f>
        <v>MAN-0179</v>
      </c>
      <c r="B181" s="3" t="s">
        <v>18</v>
      </c>
      <c r="C181" s="3" t="s">
        <v>288</v>
      </c>
      <c r="D181" s="2" t="str">
        <f t="shared" si="1"/>
        <v>CÃO DE GUARDA | M</v>
      </c>
      <c r="E181" s="3" t="s">
        <v>48</v>
      </c>
      <c r="F181" s="3" t="s">
        <v>30</v>
      </c>
      <c r="G181" s="3" t="s">
        <v>86</v>
      </c>
      <c r="H181" s="3" t="s">
        <v>33</v>
      </c>
      <c r="I181" s="3">
        <v>4.0</v>
      </c>
      <c r="J181" s="3" t="s">
        <v>23</v>
      </c>
      <c r="K181" s="3" t="s">
        <v>34</v>
      </c>
      <c r="L181" s="6" t="s">
        <v>39</v>
      </c>
      <c r="M181" s="3" t="s">
        <v>297</v>
      </c>
      <c r="N181" s="3" t="s">
        <v>298</v>
      </c>
      <c r="O181" s="3" t="s">
        <v>283</v>
      </c>
      <c r="P181" s="3" t="s">
        <v>291</v>
      </c>
      <c r="Q181" s="3" t="s">
        <v>292</v>
      </c>
      <c r="R181" s="2"/>
      <c r="S181" s="2"/>
      <c r="T181" s="2"/>
      <c r="U181" s="2"/>
      <c r="V181" s="2"/>
      <c r="W181" s="2"/>
      <c r="X181" s="2"/>
      <c r="Y181" s="2"/>
    </row>
    <row r="182">
      <c r="A182" s="5"/>
      <c r="B182" s="3"/>
      <c r="C182" s="3"/>
      <c r="D182" s="2"/>
      <c r="E182" s="3"/>
      <c r="F182" s="3"/>
      <c r="G182" s="3"/>
      <c r="H182" s="3"/>
      <c r="I182" s="3"/>
      <c r="J182" s="3"/>
      <c r="K182" s="3"/>
      <c r="L182" s="3"/>
      <c r="M182" s="3"/>
      <c r="N182" s="3"/>
      <c r="O182" s="3"/>
      <c r="P182" s="3"/>
      <c r="Q182" s="3"/>
      <c r="R182" s="2"/>
      <c r="S182" s="2"/>
      <c r="T182" s="2"/>
      <c r="U182" s="2"/>
      <c r="V182" s="2"/>
      <c r="W182" s="2"/>
      <c r="X182" s="2"/>
      <c r="Y182" s="2"/>
    </row>
    <row r="183">
      <c r="A183" s="5"/>
      <c r="B183" s="3"/>
      <c r="C183" s="3"/>
      <c r="D183" s="2"/>
      <c r="E183" s="3"/>
      <c r="F183" s="3"/>
      <c r="G183" s="3"/>
      <c r="H183" s="3"/>
      <c r="I183" s="3"/>
      <c r="J183" s="3"/>
      <c r="K183" s="3"/>
      <c r="L183" s="3"/>
      <c r="M183" s="3"/>
      <c r="N183" s="3"/>
      <c r="O183" s="3"/>
      <c r="P183" s="3"/>
      <c r="Q183" s="3"/>
      <c r="R183" s="2"/>
      <c r="S183" s="2"/>
      <c r="T183" s="2"/>
      <c r="U183" s="2"/>
      <c r="V183" s="2"/>
      <c r="W183" s="2"/>
      <c r="X183" s="2"/>
      <c r="Y183" s="2"/>
    </row>
    <row r="184">
      <c r="A184" s="5"/>
      <c r="B184" s="3"/>
      <c r="C184" s="3"/>
      <c r="D184" s="2"/>
      <c r="E184" s="3"/>
      <c r="F184" s="3"/>
      <c r="G184" s="3"/>
      <c r="H184" s="3"/>
      <c r="I184" s="3"/>
      <c r="J184" s="3"/>
      <c r="K184" s="3"/>
      <c r="L184" s="3"/>
      <c r="M184" s="3"/>
      <c r="N184" s="3"/>
      <c r="O184" s="3"/>
      <c r="P184" s="3"/>
      <c r="Q184" s="3"/>
      <c r="R184" s="2"/>
      <c r="S184" s="2"/>
      <c r="T184" s="2"/>
      <c r="U184" s="2"/>
      <c r="V184" s="2"/>
      <c r="W184" s="2"/>
      <c r="X184" s="2"/>
      <c r="Y184" s="2"/>
    </row>
    <row r="185">
      <c r="A185" s="5"/>
      <c r="B185" s="3"/>
      <c r="C185" s="3"/>
      <c r="D185" s="2"/>
      <c r="E185" s="3"/>
      <c r="F185" s="3"/>
      <c r="G185" s="3"/>
      <c r="H185" s="3"/>
      <c r="I185" s="3"/>
      <c r="J185" s="3"/>
      <c r="K185" s="3"/>
      <c r="L185" s="3"/>
      <c r="M185" s="3"/>
      <c r="N185" s="3"/>
      <c r="O185" s="3"/>
      <c r="P185" s="3"/>
      <c r="Q185" s="3"/>
      <c r="R185" s="2"/>
      <c r="S185" s="2"/>
      <c r="T185" s="2"/>
      <c r="U185" s="2"/>
      <c r="V185" s="2"/>
      <c r="W185" s="2"/>
      <c r="X185" s="2"/>
      <c r="Y185" s="2"/>
    </row>
    <row r="186">
      <c r="A186" s="5"/>
      <c r="B186" s="3"/>
      <c r="C186" s="3"/>
      <c r="D186" s="2"/>
      <c r="E186" s="3"/>
      <c r="F186" s="3"/>
      <c r="G186" s="3"/>
      <c r="H186" s="3"/>
      <c r="I186" s="3"/>
      <c r="J186" s="3"/>
      <c r="K186" s="3"/>
      <c r="L186" s="3"/>
      <c r="M186" s="3"/>
      <c r="N186" s="3"/>
      <c r="O186" s="3"/>
      <c r="P186" s="3"/>
      <c r="Q186" s="3"/>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75"/>
    <col customWidth="1" min="2" max="2" width="8.88"/>
    <col customWidth="1" min="3" max="3" width="7.63"/>
    <col customWidth="1" min="4" max="4" width="11.13"/>
    <col customWidth="1" min="5" max="5" width="9.75"/>
    <col customWidth="1" min="6" max="6" width="7.63"/>
    <col customWidth="1" min="7" max="7" width="8.5"/>
    <col customWidth="1" min="8" max="8" width="12.63"/>
    <col customWidth="1" min="9" max="9" width="8.38"/>
    <col customWidth="1" min="10" max="10" width="12.5"/>
    <col customWidth="1" min="11" max="11" width="10.63"/>
    <col customWidth="1" min="12" max="12" width="9.63"/>
    <col customWidth="1" min="13" max="13" width="13.63"/>
    <col customWidth="1" min="14" max="14" width="10.5"/>
    <col customWidth="1" min="15" max="15" width="11.38"/>
    <col customWidth="1" min="16" max="16" width="31.0"/>
    <col customWidth="1" min="17" max="17" width="35.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9" t="s">
        <v>299</v>
      </c>
      <c r="B2" s="3" t="s">
        <v>300</v>
      </c>
      <c r="C2" s="3" t="s">
        <v>301</v>
      </c>
      <c r="D2" s="2" t="str">
        <f t="shared" ref="D2:D91" si="1">UPPER(CONCATENATE(C2, " | ",E2))</f>
        <v>ILUMINAR | F</v>
      </c>
      <c r="E2" s="3" t="s">
        <v>20</v>
      </c>
      <c r="F2" s="3" t="s">
        <v>21</v>
      </c>
      <c r="G2" s="3" t="s">
        <v>302</v>
      </c>
      <c r="H2" s="3" t="s">
        <v>33</v>
      </c>
      <c r="I2" s="3">
        <v>1.0</v>
      </c>
      <c r="J2" s="3" t="s">
        <v>50</v>
      </c>
      <c r="K2" s="3" t="s">
        <v>303</v>
      </c>
      <c r="L2" s="3" t="s">
        <v>195</v>
      </c>
      <c r="M2" s="3" t="s">
        <v>304</v>
      </c>
      <c r="N2" s="3" t="s">
        <v>305</v>
      </c>
      <c r="O2" s="3" t="s">
        <v>52</v>
      </c>
      <c r="P2" s="3" t="s">
        <v>306</v>
      </c>
      <c r="Q2" s="3" t="s">
        <v>307</v>
      </c>
      <c r="R2" s="2"/>
      <c r="S2" s="2"/>
      <c r="T2" s="2"/>
      <c r="U2" s="2"/>
      <c r="V2" s="2"/>
      <c r="W2" s="2"/>
      <c r="X2" s="2"/>
      <c r="Y2" s="2"/>
    </row>
    <row r="3">
      <c r="A3" s="5" t="str">
        <f>IFERROR(__xludf.DUMMYFUNCTION("LEFT(A2, 4) &amp; TEXT(VALUE(REGEXEXTRACT(A2, ""\d+"")) + 1, ""0000"")"),"HAG-0001")</f>
        <v>HAG-0001</v>
      </c>
      <c r="B3" s="3" t="s">
        <v>300</v>
      </c>
      <c r="C3" s="3" t="s">
        <v>301</v>
      </c>
      <c r="D3" s="2" t="str">
        <f t="shared" si="1"/>
        <v>ILUMINAR | F</v>
      </c>
      <c r="E3" s="3" t="s">
        <v>20</v>
      </c>
      <c r="F3" s="3" t="s">
        <v>27</v>
      </c>
      <c r="G3" s="3" t="s">
        <v>302</v>
      </c>
      <c r="H3" s="3" t="s">
        <v>33</v>
      </c>
      <c r="I3" s="3">
        <v>1.0</v>
      </c>
      <c r="J3" s="3" t="s">
        <v>50</v>
      </c>
      <c r="K3" s="3" t="s">
        <v>303</v>
      </c>
      <c r="L3" s="3" t="s">
        <v>195</v>
      </c>
      <c r="M3" s="3" t="s">
        <v>308</v>
      </c>
      <c r="N3" s="3" t="s">
        <v>309</v>
      </c>
      <c r="O3" s="3" t="s">
        <v>55</v>
      </c>
      <c r="P3" s="3" t="s">
        <v>306</v>
      </c>
      <c r="Q3" s="3" t="s">
        <v>307</v>
      </c>
      <c r="R3" s="2"/>
      <c r="S3" s="2"/>
      <c r="T3" s="2"/>
      <c r="U3" s="2"/>
      <c r="V3" s="2"/>
      <c r="W3" s="2"/>
      <c r="X3" s="2"/>
      <c r="Y3" s="2"/>
    </row>
    <row r="4">
      <c r="A4" s="5" t="str">
        <f>IFERROR(__xludf.DUMMYFUNCTION("LEFT(A3, 4) &amp; TEXT(VALUE(REGEXEXTRACT(A3, ""\d+"")) + 1, ""0000"")"),"HAG-0002")</f>
        <v>HAG-0002</v>
      </c>
      <c r="B4" s="3" t="s">
        <v>300</v>
      </c>
      <c r="C4" s="3" t="s">
        <v>301</v>
      </c>
      <c r="D4" s="2" t="str">
        <f t="shared" si="1"/>
        <v>ILUMINAR | F</v>
      </c>
      <c r="E4" s="3" t="s">
        <v>20</v>
      </c>
      <c r="F4" s="3" t="s">
        <v>28</v>
      </c>
      <c r="G4" s="3" t="s">
        <v>302</v>
      </c>
      <c r="H4" s="3" t="s">
        <v>33</v>
      </c>
      <c r="I4" s="3">
        <v>1.0</v>
      </c>
      <c r="J4" s="3" t="s">
        <v>50</v>
      </c>
      <c r="K4" s="3" t="s">
        <v>303</v>
      </c>
      <c r="L4" s="3" t="s">
        <v>195</v>
      </c>
      <c r="M4" s="3" t="s">
        <v>310</v>
      </c>
      <c r="N4" s="3" t="s">
        <v>311</v>
      </c>
      <c r="O4" s="3" t="s">
        <v>57</v>
      </c>
      <c r="P4" s="3" t="s">
        <v>306</v>
      </c>
      <c r="Q4" s="3" t="s">
        <v>307</v>
      </c>
      <c r="R4" s="2"/>
      <c r="S4" s="2"/>
      <c r="T4" s="2"/>
      <c r="U4" s="2"/>
      <c r="V4" s="2"/>
      <c r="W4" s="2"/>
      <c r="X4" s="2"/>
      <c r="Y4" s="2"/>
    </row>
    <row r="5">
      <c r="A5" s="5" t="str">
        <f>IFERROR(__xludf.DUMMYFUNCTION("LEFT(A4, 4) &amp; TEXT(VALUE(REGEXEXTRACT(A4, ""\d+"")) + 1, ""0000"")"),"HAG-0003")</f>
        <v>HAG-0003</v>
      </c>
      <c r="B5" s="3" t="s">
        <v>300</v>
      </c>
      <c r="C5" s="3" t="s">
        <v>301</v>
      </c>
      <c r="D5" s="2" t="str">
        <f t="shared" si="1"/>
        <v>ILUMINAR | F</v>
      </c>
      <c r="E5" s="3" t="s">
        <v>20</v>
      </c>
      <c r="F5" s="3" t="s">
        <v>29</v>
      </c>
      <c r="G5" s="3" t="s">
        <v>302</v>
      </c>
      <c r="H5" s="3" t="s">
        <v>33</v>
      </c>
      <c r="I5" s="3">
        <v>1.0</v>
      </c>
      <c r="J5" s="3" t="s">
        <v>50</v>
      </c>
      <c r="K5" s="3" t="s">
        <v>303</v>
      </c>
      <c r="L5" s="3" t="s">
        <v>195</v>
      </c>
      <c r="M5" s="3" t="s">
        <v>312</v>
      </c>
      <c r="N5" s="3" t="s">
        <v>313</v>
      </c>
      <c r="O5" s="3" t="s">
        <v>59</v>
      </c>
      <c r="P5" s="3" t="s">
        <v>306</v>
      </c>
      <c r="Q5" s="3" t="s">
        <v>307</v>
      </c>
      <c r="R5" s="2"/>
      <c r="S5" s="2"/>
      <c r="T5" s="2"/>
      <c r="U5" s="2"/>
      <c r="V5" s="2"/>
      <c r="W5" s="2"/>
      <c r="X5" s="2"/>
      <c r="Y5" s="2"/>
    </row>
    <row r="6">
      <c r="A6" s="5" t="str">
        <f>IFERROR(__xludf.DUMMYFUNCTION("LEFT(A5, 4) &amp; TEXT(VALUE(REGEXEXTRACT(A5, ""\d+"")) + 1, ""0000"")"),"HAG-0004")</f>
        <v>HAG-0004</v>
      </c>
      <c r="B6" s="3" t="s">
        <v>300</v>
      </c>
      <c r="C6" s="3" t="s">
        <v>301</v>
      </c>
      <c r="D6" s="2" t="str">
        <f t="shared" si="1"/>
        <v>ILUMINAR | F</v>
      </c>
      <c r="E6" s="3" t="s">
        <v>20</v>
      </c>
      <c r="F6" s="3" t="s">
        <v>30</v>
      </c>
      <c r="G6" s="3" t="s">
        <v>302</v>
      </c>
      <c r="H6" s="3" t="s">
        <v>33</v>
      </c>
      <c r="I6" s="3">
        <v>1.0</v>
      </c>
      <c r="J6" s="3" t="s">
        <v>23</v>
      </c>
      <c r="K6" s="3" t="s">
        <v>303</v>
      </c>
      <c r="L6" s="3" t="s">
        <v>195</v>
      </c>
      <c r="M6" s="3" t="s">
        <v>314</v>
      </c>
      <c r="N6" s="3" t="s">
        <v>315</v>
      </c>
      <c r="O6" s="3" t="s">
        <v>61</v>
      </c>
      <c r="P6" s="3" t="s">
        <v>306</v>
      </c>
      <c r="Q6" s="3" t="s">
        <v>307</v>
      </c>
      <c r="R6" s="2"/>
      <c r="S6" s="2"/>
      <c r="T6" s="2"/>
      <c r="U6" s="2"/>
      <c r="V6" s="2"/>
      <c r="W6" s="2"/>
      <c r="X6" s="2"/>
      <c r="Y6" s="2"/>
    </row>
    <row r="7">
      <c r="A7" s="5" t="str">
        <f>IFERROR(__xludf.DUMMYFUNCTION("LEFT(A6, 4) &amp; TEXT(VALUE(REGEXEXTRACT(A6, ""\d+"")) + 1, ""0000"")"),"HAG-0005")</f>
        <v>HAG-0005</v>
      </c>
      <c r="B7" s="3" t="s">
        <v>300</v>
      </c>
      <c r="C7" s="3" t="s">
        <v>316</v>
      </c>
      <c r="D7" s="2" t="str">
        <f t="shared" si="1"/>
        <v>FLASH | M</v>
      </c>
      <c r="E7" s="3" t="s">
        <v>48</v>
      </c>
      <c r="F7" s="3" t="s">
        <v>21</v>
      </c>
      <c r="G7" s="3" t="s">
        <v>317</v>
      </c>
      <c r="H7" s="3" t="s">
        <v>33</v>
      </c>
      <c r="I7" s="3">
        <v>4.0</v>
      </c>
      <c r="J7" s="3" t="s">
        <v>23</v>
      </c>
      <c r="K7" s="3" t="s">
        <v>318</v>
      </c>
      <c r="L7" s="3" t="s">
        <v>66</v>
      </c>
      <c r="M7" s="3" t="s">
        <v>65</v>
      </c>
      <c r="N7" s="3" t="s">
        <v>319</v>
      </c>
      <c r="O7" s="3" t="s">
        <v>50</v>
      </c>
      <c r="P7" s="3" t="s">
        <v>320</v>
      </c>
      <c r="Q7" s="3" t="s">
        <v>321</v>
      </c>
      <c r="R7" s="2"/>
      <c r="S7" s="2"/>
      <c r="T7" s="2"/>
      <c r="U7" s="2"/>
      <c r="V7" s="2"/>
      <c r="W7" s="2"/>
      <c r="X7" s="2"/>
      <c r="Y7" s="2"/>
    </row>
    <row r="8">
      <c r="A8" s="5" t="str">
        <f>IFERROR(__xludf.DUMMYFUNCTION("LEFT(A7, 4) &amp; TEXT(VALUE(REGEXEXTRACT(A7, ""\d+"")) + 1, ""0000"")"),"HAG-0006")</f>
        <v>HAG-0006</v>
      </c>
      <c r="B8" s="3" t="s">
        <v>300</v>
      </c>
      <c r="C8" s="3" t="s">
        <v>316</v>
      </c>
      <c r="D8" s="2" t="str">
        <f t="shared" si="1"/>
        <v>FLASH | M</v>
      </c>
      <c r="E8" s="3" t="s">
        <v>48</v>
      </c>
      <c r="F8" s="3" t="s">
        <v>27</v>
      </c>
      <c r="G8" s="3" t="s">
        <v>317</v>
      </c>
      <c r="H8" s="3" t="s">
        <v>33</v>
      </c>
      <c r="I8" s="3">
        <v>4.0</v>
      </c>
      <c r="J8" s="3" t="s">
        <v>23</v>
      </c>
      <c r="K8" s="3" t="s">
        <v>318</v>
      </c>
      <c r="L8" s="3" t="s">
        <v>289</v>
      </c>
      <c r="M8" s="3" t="s">
        <v>35</v>
      </c>
      <c r="N8" s="3" t="s">
        <v>322</v>
      </c>
      <c r="O8" s="3" t="s">
        <v>50</v>
      </c>
      <c r="P8" s="3" t="s">
        <v>320</v>
      </c>
      <c r="Q8" s="3" t="s">
        <v>321</v>
      </c>
      <c r="R8" s="2"/>
      <c r="S8" s="2"/>
      <c r="T8" s="2"/>
      <c r="U8" s="2"/>
      <c r="V8" s="2"/>
      <c r="W8" s="2"/>
      <c r="X8" s="2"/>
      <c r="Y8" s="2"/>
    </row>
    <row r="9">
      <c r="A9" s="5" t="str">
        <f>IFERROR(__xludf.DUMMYFUNCTION("LEFT(A8, 4) &amp; TEXT(VALUE(REGEXEXTRACT(A8, ""\d+"")) + 1, ""0000"")"),"HAG-0007")</f>
        <v>HAG-0007</v>
      </c>
      <c r="B9" s="3" t="s">
        <v>300</v>
      </c>
      <c r="C9" s="3" t="s">
        <v>316</v>
      </c>
      <c r="D9" s="2" t="str">
        <f t="shared" si="1"/>
        <v>FLASH | M</v>
      </c>
      <c r="E9" s="3" t="s">
        <v>48</v>
      </c>
      <c r="F9" s="3" t="s">
        <v>28</v>
      </c>
      <c r="G9" s="3" t="s">
        <v>317</v>
      </c>
      <c r="H9" s="3" t="s">
        <v>33</v>
      </c>
      <c r="I9" s="3">
        <v>4.0</v>
      </c>
      <c r="J9" s="3" t="s">
        <v>23</v>
      </c>
      <c r="K9" s="3" t="s">
        <v>318</v>
      </c>
      <c r="L9" s="3" t="s">
        <v>65</v>
      </c>
      <c r="M9" s="3" t="s">
        <v>297</v>
      </c>
      <c r="N9" s="3" t="s">
        <v>323</v>
      </c>
      <c r="O9" s="3" t="s">
        <v>126</v>
      </c>
      <c r="P9" s="3" t="s">
        <v>320</v>
      </c>
      <c r="Q9" s="3" t="s">
        <v>321</v>
      </c>
      <c r="R9" s="2"/>
      <c r="S9" s="2"/>
      <c r="T9" s="2"/>
      <c r="U9" s="2"/>
      <c r="V9" s="2"/>
      <c r="W9" s="2"/>
      <c r="X9" s="2"/>
      <c r="Y9" s="2"/>
    </row>
    <row r="10">
      <c r="A10" s="5" t="str">
        <f>IFERROR(__xludf.DUMMYFUNCTION("LEFT(A9, 4) &amp; TEXT(VALUE(REGEXEXTRACT(A9, ""\d+"")) + 1, ""0000"")"),"HAG-0008")</f>
        <v>HAG-0008</v>
      </c>
      <c r="B10" s="3" t="s">
        <v>300</v>
      </c>
      <c r="C10" s="3" t="s">
        <v>316</v>
      </c>
      <c r="D10" s="2" t="str">
        <f t="shared" si="1"/>
        <v>FLASH | M</v>
      </c>
      <c r="E10" s="3" t="s">
        <v>48</v>
      </c>
      <c r="F10" s="3" t="s">
        <v>29</v>
      </c>
      <c r="G10" s="3" t="s">
        <v>317</v>
      </c>
      <c r="H10" s="3" t="s">
        <v>33</v>
      </c>
      <c r="I10" s="3">
        <v>4.0</v>
      </c>
      <c r="J10" s="3" t="s">
        <v>23</v>
      </c>
      <c r="K10" s="3" t="s">
        <v>318</v>
      </c>
      <c r="L10" s="3" t="s">
        <v>324</v>
      </c>
      <c r="M10" s="3" t="s">
        <v>325</v>
      </c>
      <c r="N10" s="3" t="s">
        <v>326</v>
      </c>
      <c r="O10" s="3" t="s">
        <v>126</v>
      </c>
      <c r="P10" s="3" t="s">
        <v>320</v>
      </c>
      <c r="Q10" s="3" t="s">
        <v>321</v>
      </c>
      <c r="R10" s="2"/>
      <c r="S10" s="2"/>
      <c r="T10" s="2"/>
      <c r="U10" s="2"/>
      <c r="V10" s="2"/>
      <c r="W10" s="2"/>
      <c r="X10" s="2"/>
      <c r="Y10" s="2"/>
    </row>
    <row r="11">
      <c r="A11" s="5" t="str">
        <f>IFERROR(__xludf.DUMMYFUNCTION("LEFT(A10, 4) &amp; TEXT(VALUE(REGEXEXTRACT(A10, ""\d+"")) + 1, ""0000"")"),"HAG-0009")</f>
        <v>HAG-0009</v>
      </c>
      <c r="B11" s="3" t="s">
        <v>300</v>
      </c>
      <c r="C11" s="3" t="s">
        <v>316</v>
      </c>
      <c r="D11" s="2" t="str">
        <f t="shared" si="1"/>
        <v>FLASH | M</v>
      </c>
      <c r="E11" s="3" t="s">
        <v>48</v>
      </c>
      <c r="F11" s="3" t="s">
        <v>30</v>
      </c>
      <c r="G11" s="3" t="s">
        <v>317</v>
      </c>
      <c r="H11" s="3" t="s">
        <v>33</v>
      </c>
      <c r="I11" s="3">
        <v>4.0</v>
      </c>
      <c r="J11" s="3" t="s">
        <v>23</v>
      </c>
      <c r="K11" s="3" t="s">
        <v>318</v>
      </c>
      <c r="L11" s="3" t="s">
        <v>35</v>
      </c>
      <c r="M11" s="3" t="s">
        <v>41</v>
      </c>
      <c r="N11" s="3" t="s">
        <v>327</v>
      </c>
      <c r="O11" s="3" t="s">
        <v>131</v>
      </c>
      <c r="P11" s="3" t="s">
        <v>320</v>
      </c>
      <c r="Q11" s="3" t="s">
        <v>321</v>
      </c>
      <c r="R11" s="2"/>
      <c r="S11" s="2"/>
      <c r="T11" s="2"/>
      <c r="U11" s="2"/>
      <c r="V11" s="2"/>
      <c r="W11" s="2"/>
      <c r="X11" s="2"/>
      <c r="Y11" s="2"/>
    </row>
    <row r="12">
      <c r="A12" s="5" t="str">
        <f>IFERROR(__xludf.DUMMYFUNCTION("LEFT(A11, 4) &amp; TEXT(VALUE(REGEXEXTRACT(A11, ""\d+"")) + 1, ""0000"")"),"HAG-0010")</f>
        <v>HAG-0010</v>
      </c>
      <c r="B12" s="3" t="s">
        <v>300</v>
      </c>
      <c r="C12" s="3" t="s">
        <v>328</v>
      </c>
      <c r="D12" s="2" t="str">
        <f t="shared" si="1"/>
        <v>DUELO FORÇADO | M</v>
      </c>
      <c r="E12" s="3" t="s">
        <v>48</v>
      </c>
      <c r="F12" s="3" t="s">
        <v>21</v>
      </c>
      <c r="G12" s="3" t="s">
        <v>329</v>
      </c>
      <c r="H12" s="3" t="s">
        <v>33</v>
      </c>
      <c r="I12" s="3">
        <v>4.0</v>
      </c>
      <c r="J12" s="3" t="s">
        <v>23</v>
      </c>
      <c r="K12" s="3" t="s">
        <v>95</v>
      </c>
      <c r="L12" s="6" t="s">
        <v>65</v>
      </c>
      <c r="M12" s="3" t="s">
        <v>124</v>
      </c>
      <c r="N12" s="3" t="s">
        <v>330</v>
      </c>
      <c r="O12" s="3" t="s">
        <v>126</v>
      </c>
      <c r="P12" s="3" t="s">
        <v>331</v>
      </c>
      <c r="Q12" s="3" t="s">
        <v>332</v>
      </c>
      <c r="R12" s="2"/>
      <c r="S12" s="2"/>
      <c r="T12" s="2"/>
      <c r="U12" s="2"/>
      <c r="V12" s="2"/>
      <c r="W12" s="2"/>
      <c r="X12" s="2"/>
      <c r="Y12" s="2"/>
    </row>
    <row r="13">
      <c r="A13" s="5" t="str">
        <f>IFERROR(__xludf.DUMMYFUNCTION("LEFT(A12, 4) &amp; TEXT(VALUE(REGEXEXTRACT(A12, ""\d+"")) + 1, ""0000"")"),"HAG-0011")</f>
        <v>HAG-0011</v>
      </c>
      <c r="B13" s="3" t="s">
        <v>300</v>
      </c>
      <c r="C13" s="3" t="s">
        <v>328</v>
      </c>
      <c r="D13" s="2" t="str">
        <f t="shared" si="1"/>
        <v>DUELO FORÇADO | M</v>
      </c>
      <c r="E13" s="3" t="s">
        <v>48</v>
      </c>
      <c r="F13" s="3" t="s">
        <v>27</v>
      </c>
      <c r="G13" s="3" t="s">
        <v>329</v>
      </c>
      <c r="H13" s="3" t="s">
        <v>33</v>
      </c>
      <c r="I13" s="3">
        <v>4.0</v>
      </c>
      <c r="J13" s="3" t="s">
        <v>23</v>
      </c>
      <c r="K13" s="3" t="s">
        <v>95</v>
      </c>
      <c r="L13" s="6" t="s">
        <v>35</v>
      </c>
      <c r="M13" s="3" t="s">
        <v>124</v>
      </c>
      <c r="N13" s="3" t="s">
        <v>333</v>
      </c>
      <c r="O13" s="3" t="s">
        <v>126</v>
      </c>
      <c r="P13" s="3" t="s">
        <v>331</v>
      </c>
      <c r="Q13" s="3" t="s">
        <v>334</v>
      </c>
      <c r="R13" s="2"/>
      <c r="S13" s="2"/>
      <c r="T13" s="2"/>
      <c r="U13" s="2"/>
      <c r="V13" s="2"/>
      <c r="W13" s="2"/>
      <c r="X13" s="2"/>
      <c r="Y13" s="2"/>
    </row>
    <row r="14">
      <c r="A14" s="5" t="str">
        <f>IFERROR(__xludf.DUMMYFUNCTION("LEFT(A13, 4) &amp; TEXT(VALUE(REGEXEXTRACT(A13, ""\d+"")) + 1, ""0000"")"),"HAG-0012")</f>
        <v>HAG-0012</v>
      </c>
      <c r="B14" s="3" t="s">
        <v>300</v>
      </c>
      <c r="C14" s="3" t="s">
        <v>328</v>
      </c>
      <c r="D14" s="2" t="str">
        <f t="shared" si="1"/>
        <v>DUELO FORÇADO | M</v>
      </c>
      <c r="E14" s="3" t="s">
        <v>48</v>
      </c>
      <c r="F14" s="3" t="s">
        <v>28</v>
      </c>
      <c r="G14" s="3" t="s">
        <v>329</v>
      </c>
      <c r="H14" s="3" t="s">
        <v>33</v>
      </c>
      <c r="I14" s="3">
        <v>4.0</v>
      </c>
      <c r="J14" s="3" t="s">
        <v>23</v>
      </c>
      <c r="K14" s="3" t="s">
        <v>95</v>
      </c>
      <c r="L14" s="6" t="s">
        <v>70</v>
      </c>
      <c r="M14" s="3" t="s">
        <v>124</v>
      </c>
      <c r="N14" s="3" t="s">
        <v>335</v>
      </c>
      <c r="O14" s="3" t="s">
        <v>131</v>
      </c>
      <c r="P14" s="3" t="s">
        <v>331</v>
      </c>
      <c r="Q14" s="3" t="s">
        <v>336</v>
      </c>
      <c r="R14" s="2"/>
      <c r="S14" s="2"/>
      <c r="T14" s="2"/>
      <c r="U14" s="2"/>
      <c r="V14" s="2"/>
      <c r="W14" s="2"/>
      <c r="X14" s="2"/>
      <c r="Y14" s="2"/>
    </row>
    <row r="15">
      <c r="A15" s="5" t="str">
        <f>IFERROR(__xludf.DUMMYFUNCTION("LEFT(A14, 4) &amp; TEXT(VALUE(REGEXEXTRACT(A14, ""\d+"")) + 1, ""0000"")"),"HAG-0013")</f>
        <v>HAG-0013</v>
      </c>
      <c r="B15" s="3" t="s">
        <v>300</v>
      </c>
      <c r="C15" s="3" t="s">
        <v>328</v>
      </c>
      <c r="D15" s="2" t="str">
        <f t="shared" si="1"/>
        <v>DUELO FORÇADO | M</v>
      </c>
      <c r="E15" s="3" t="s">
        <v>48</v>
      </c>
      <c r="F15" s="3" t="s">
        <v>29</v>
      </c>
      <c r="G15" s="3" t="s">
        <v>329</v>
      </c>
      <c r="H15" s="3" t="s">
        <v>33</v>
      </c>
      <c r="I15" s="3">
        <v>4.0</v>
      </c>
      <c r="J15" s="3" t="s">
        <v>23</v>
      </c>
      <c r="K15" s="3" t="s">
        <v>95</v>
      </c>
      <c r="L15" s="6" t="s">
        <v>72</v>
      </c>
      <c r="M15" s="3" t="s">
        <v>124</v>
      </c>
      <c r="N15" s="3" t="s">
        <v>337</v>
      </c>
      <c r="O15" s="3" t="s">
        <v>131</v>
      </c>
      <c r="P15" s="3" t="s">
        <v>331</v>
      </c>
      <c r="Q15" s="3" t="s">
        <v>338</v>
      </c>
      <c r="R15" s="2"/>
      <c r="S15" s="2"/>
      <c r="T15" s="2"/>
      <c r="U15" s="2"/>
      <c r="V15" s="2"/>
      <c r="W15" s="2"/>
      <c r="X15" s="2"/>
      <c r="Y15" s="2"/>
    </row>
    <row r="16">
      <c r="A16" s="5" t="str">
        <f>IFERROR(__xludf.DUMMYFUNCTION("LEFT(A15, 4) &amp; TEXT(VALUE(REGEXEXTRACT(A15, ""\d+"")) + 1, ""0000"")"),"HAG-0014")</f>
        <v>HAG-0014</v>
      </c>
      <c r="B16" s="3" t="s">
        <v>300</v>
      </c>
      <c r="C16" s="3" t="s">
        <v>328</v>
      </c>
      <c r="D16" s="2" t="str">
        <f t="shared" si="1"/>
        <v>DUELO FORÇADO | M</v>
      </c>
      <c r="E16" s="3" t="s">
        <v>48</v>
      </c>
      <c r="F16" s="3" t="s">
        <v>30</v>
      </c>
      <c r="G16" s="3" t="s">
        <v>329</v>
      </c>
      <c r="H16" s="3" t="s">
        <v>33</v>
      </c>
      <c r="I16" s="3">
        <v>4.0</v>
      </c>
      <c r="J16" s="3" t="s">
        <v>23</v>
      </c>
      <c r="K16" s="3" t="s">
        <v>95</v>
      </c>
      <c r="L16" s="6" t="s">
        <v>39</v>
      </c>
      <c r="M16" s="3" t="s">
        <v>124</v>
      </c>
      <c r="N16" s="3" t="s">
        <v>339</v>
      </c>
      <c r="O16" s="3" t="s">
        <v>136</v>
      </c>
      <c r="P16" s="3" t="s">
        <v>331</v>
      </c>
      <c r="Q16" s="3" t="s">
        <v>340</v>
      </c>
      <c r="R16" s="2"/>
      <c r="S16" s="2"/>
      <c r="T16" s="2"/>
      <c r="U16" s="2"/>
      <c r="V16" s="2"/>
      <c r="W16" s="2"/>
      <c r="X16" s="2"/>
      <c r="Y16" s="2"/>
    </row>
    <row r="17">
      <c r="A17" s="5" t="str">
        <f>IFERROR(__xludf.DUMMYFUNCTION("LEFT(A16, 4) &amp; TEXT(VALUE(REGEXEXTRACT(A16, ""\d+"")) + 1, ""0000"")"),"HAG-0015")</f>
        <v>HAG-0015</v>
      </c>
      <c r="B17" s="3" t="s">
        <v>300</v>
      </c>
      <c r="C17" s="3" t="s">
        <v>341</v>
      </c>
      <c r="D17" s="2" t="str">
        <f t="shared" si="1"/>
        <v>SUBJULGAR | D</v>
      </c>
      <c r="E17" s="3" t="s">
        <v>76</v>
      </c>
      <c r="F17" s="3" t="s">
        <v>21</v>
      </c>
      <c r="G17" s="3" t="s">
        <v>329</v>
      </c>
      <c r="H17" s="3" t="s">
        <v>342</v>
      </c>
      <c r="I17" s="3">
        <v>8.0</v>
      </c>
      <c r="J17" s="3" t="s">
        <v>50</v>
      </c>
      <c r="K17" s="3" t="s">
        <v>95</v>
      </c>
      <c r="L17" s="6" t="s">
        <v>65</v>
      </c>
      <c r="M17" s="3" t="s">
        <v>124</v>
      </c>
      <c r="N17" s="3" t="s">
        <v>343</v>
      </c>
      <c r="O17" s="3" t="s">
        <v>344</v>
      </c>
      <c r="P17" s="3" t="s">
        <v>345</v>
      </c>
      <c r="Q17" s="3" t="s">
        <v>346</v>
      </c>
      <c r="R17" s="2"/>
      <c r="S17" s="2"/>
      <c r="T17" s="2"/>
      <c r="U17" s="2"/>
      <c r="V17" s="2"/>
      <c r="W17" s="2"/>
      <c r="X17" s="2"/>
      <c r="Y17" s="2"/>
    </row>
    <row r="18">
      <c r="A18" s="5" t="str">
        <f>IFERROR(__xludf.DUMMYFUNCTION("LEFT(A17, 4) &amp; TEXT(VALUE(REGEXEXTRACT(A17, ""\d+"")) + 1, ""0000"")"),"HAG-0016")</f>
        <v>HAG-0016</v>
      </c>
      <c r="B18" s="3" t="s">
        <v>300</v>
      </c>
      <c r="C18" s="3" t="s">
        <v>341</v>
      </c>
      <c r="D18" s="2" t="str">
        <f t="shared" si="1"/>
        <v>SUBJULGAR | D</v>
      </c>
      <c r="E18" s="3" t="s">
        <v>76</v>
      </c>
      <c r="F18" s="3" t="s">
        <v>27</v>
      </c>
      <c r="G18" s="3" t="s">
        <v>329</v>
      </c>
      <c r="H18" s="3" t="s">
        <v>342</v>
      </c>
      <c r="I18" s="3">
        <v>8.0</v>
      </c>
      <c r="J18" s="3" t="s">
        <v>50</v>
      </c>
      <c r="K18" s="3" t="s">
        <v>95</v>
      </c>
      <c r="L18" s="6" t="s">
        <v>35</v>
      </c>
      <c r="M18" s="3" t="s">
        <v>124</v>
      </c>
      <c r="N18" s="3" t="s">
        <v>343</v>
      </c>
      <c r="O18" s="3" t="s">
        <v>344</v>
      </c>
      <c r="P18" s="3" t="s">
        <v>345</v>
      </c>
      <c r="Q18" s="3" t="s">
        <v>347</v>
      </c>
      <c r="R18" s="2"/>
      <c r="S18" s="2"/>
      <c r="T18" s="2"/>
      <c r="U18" s="2"/>
      <c r="V18" s="2"/>
      <c r="W18" s="2"/>
      <c r="X18" s="2"/>
      <c r="Y18" s="2"/>
    </row>
    <row r="19">
      <c r="A19" s="5" t="str">
        <f>IFERROR(__xludf.DUMMYFUNCTION("LEFT(A18, 4) &amp; TEXT(VALUE(REGEXEXTRACT(A18, ""\d+"")) + 1, ""0000"")"),"HAG-0017")</f>
        <v>HAG-0017</v>
      </c>
      <c r="B19" s="3" t="s">
        <v>300</v>
      </c>
      <c r="C19" s="3" t="s">
        <v>341</v>
      </c>
      <c r="D19" s="2" t="str">
        <f t="shared" si="1"/>
        <v>SUBJULGAR | D</v>
      </c>
      <c r="E19" s="3" t="s">
        <v>76</v>
      </c>
      <c r="F19" s="3" t="s">
        <v>28</v>
      </c>
      <c r="G19" s="3" t="s">
        <v>329</v>
      </c>
      <c r="H19" s="3" t="s">
        <v>342</v>
      </c>
      <c r="I19" s="3">
        <v>8.0</v>
      </c>
      <c r="J19" s="3" t="s">
        <v>50</v>
      </c>
      <c r="K19" s="3" t="s">
        <v>95</v>
      </c>
      <c r="L19" s="6" t="s">
        <v>70</v>
      </c>
      <c r="M19" s="3" t="s">
        <v>124</v>
      </c>
      <c r="N19" s="3" t="s">
        <v>348</v>
      </c>
      <c r="O19" s="3" t="s">
        <v>344</v>
      </c>
      <c r="P19" s="3" t="s">
        <v>349</v>
      </c>
      <c r="Q19" s="3" t="s">
        <v>350</v>
      </c>
      <c r="R19" s="2"/>
      <c r="S19" s="2"/>
      <c r="T19" s="2"/>
      <c r="U19" s="2"/>
      <c r="V19" s="2"/>
      <c r="W19" s="2"/>
      <c r="X19" s="2"/>
      <c r="Y19" s="2"/>
    </row>
    <row r="20">
      <c r="A20" s="5" t="str">
        <f>IFERROR(__xludf.DUMMYFUNCTION("LEFT(A19, 4) &amp; TEXT(VALUE(REGEXEXTRACT(A19, ""\d+"")) + 1, ""0000"")"),"HAG-0018")</f>
        <v>HAG-0018</v>
      </c>
      <c r="B20" s="3" t="s">
        <v>300</v>
      </c>
      <c r="C20" s="3" t="s">
        <v>341</v>
      </c>
      <c r="D20" s="2" t="str">
        <f t="shared" si="1"/>
        <v>SUBJULGAR | D</v>
      </c>
      <c r="E20" s="3" t="s">
        <v>76</v>
      </c>
      <c r="F20" s="3" t="s">
        <v>29</v>
      </c>
      <c r="G20" s="3" t="s">
        <v>329</v>
      </c>
      <c r="H20" s="3" t="s">
        <v>342</v>
      </c>
      <c r="I20" s="3">
        <v>8.0</v>
      </c>
      <c r="J20" s="3" t="s">
        <v>50</v>
      </c>
      <c r="K20" s="3" t="s">
        <v>95</v>
      </c>
      <c r="L20" s="6" t="s">
        <v>72</v>
      </c>
      <c r="M20" s="3" t="s">
        <v>124</v>
      </c>
      <c r="N20" s="3" t="s">
        <v>351</v>
      </c>
      <c r="O20" s="3" t="s">
        <v>344</v>
      </c>
      <c r="P20" s="3" t="s">
        <v>349</v>
      </c>
      <c r="Q20" s="3" t="s">
        <v>352</v>
      </c>
      <c r="R20" s="2"/>
      <c r="S20" s="2"/>
      <c r="T20" s="2"/>
      <c r="U20" s="2"/>
      <c r="V20" s="2"/>
      <c r="W20" s="2"/>
      <c r="X20" s="2"/>
      <c r="Y20" s="2"/>
    </row>
    <row r="21">
      <c r="A21" s="5" t="str">
        <f>IFERROR(__xludf.DUMMYFUNCTION("LEFT(A20, 4) &amp; TEXT(VALUE(REGEXEXTRACT(A20, ""\d+"")) + 1, ""0000"")"),"HAG-0019")</f>
        <v>HAG-0019</v>
      </c>
      <c r="B21" s="3" t="s">
        <v>300</v>
      </c>
      <c r="C21" s="3" t="s">
        <v>341</v>
      </c>
      <c r="D21" s="2" t="str">
        <f t="shared" si="1"/>
        <v>SUBJULGAR | D</v>
      </c>
      <c r="E21" s="3" t="s">
        <v>76</v>
      </c>
      <c r="F21" s="3" t="s">
        <v>30</v>
      </c>
      <c r="G21" s="3" t="s">
        <v>329</v>
      </c>
      <c r="H21" s="3" t="s">
        <v>342</v>
      </c>
      <c r="I21" s="3">
        <v>8.0</v>
      </c>
      <c r="J21" s="3" t="s">
        <v>23</v>
      </c>
      <c r="K21" s="3" t="s">
        <v>95</v>
      </c>
      <c r="L21" s="6" t="s">
        <v>39</v>
      </c>
      <c r="M21" s="3" t="s">
        <v>124</v>
      </c>
      <c r="N21" s="3" t="s">
        <v>353</v>
      </c>
      <c r="O21" s="3" t="s">
        <v>344</v>
      </c>
      <c r="P21" s="3" t="s">
        <v>349</v>
      </c>
      <c r="Q21" s="3" t="s">
        <v>354</v>
      </c>
      <c r="R21" s="2"/>
      <c r="S21" s="2"/>
      <c r="T21" s="2"/>
      <c r="U21" s="2"/>
      <c r="V21" s="2"/>
      <c r="W21" s="2"/>
      <c r="X21" s="2"/>
      <c r="Y21" s="2"/>
    </row>
    <row r="22">
      <c r="A22" s="5" t="str">
        <f>IFERROR(__xludf.DUMMYFUNCTION("LEFT(A21, 4) &amp; TEXT(VALUE(REGEXEXTRACT(A21, ""\d+"")) + 1, ""0000"")"),"HAG-0020")</f>
        <v>HAG-0020</v>
      </c>
      <c r="B22" s="3" t="s">
        <v>300</v>
      </c>
      <c r="C22" s="3" t="s">
        <v>355</v>
      </c>
      <c r="D22" s="2" t="str">
        <f t="shared" si="1"/>
        <v>ARMA DE LUZ | M</v>
      </c>
      <c r="E22" s="3" t="s">
        <v>48</v>
      </c>
      <c r="F22" s="3" t="s">
        <v>21</v>
      </c>
      <c r="G22" s="3" t="s">
        <v>302</v>
      </c>
      <c r="H22" s="3" t="s">
        <v>33</v>
      </c>
      <c r="I22" s="3">
        <v>4.0</v>
      </c>
      <c r="J22" s="3" t="s">
        <v>23</v>
      </c>
      <c r="K22" s="3" t="s">
        <v>303</v>
      </c>
      <c r="L22" s="3" t="s">
        <v>24</v>
      </c>
      <c r="M22" s="3" t="s">
        <v>24</v>
      </c>
      <c r="N22" s="3" t="s">
        <v>356</v>
      </c>
      <c r="O22" s="3" t="s">
        <v>126</v>
      </c>
      <c r="P22" s="3" t="s">
        <v>357</v>
      </c>
      <c r="Q22" s="3" t="s">
        <v>358</v>
      </c>
      <c r="R22" s="2"/>
      <c r="S22" s="2"/>
      <c r="T22" s="2"/>
      <c r="U22" s="2"/>
      <c r="V22" s="2"/>
      <c r="W22" s="2"/>
      <c r="X22" s="2"/>
      <c r="Y22" s="2"/>
    </row>
    <row r="23">
      <c r="A23" s="5" t="str">
        <f>IFERROR(__xludf.DUMMYFUNCTION("LEFT(A22, 4) &amp; TEXT(VALUE(REGEXEXTRACT(A22, ""\d+"")) + 1, ""0000"")"),"HAG-0021")</f>
        <v>HAG-0021</v>
      </c>
      <c r="B23" s="3" t="s">
        <v>300</v>
      </c>
      <c r="C23" s="3" t="s">
        <v>355</v>
      </c>
      <c r="D23" s="2" t="str">
        <f t="shared" si="1"/>
        <v>ARMA DE LUZ | M</v>
      </c>
      <c r="E23" s="3" t="s">
        <v>48</v>
      </c>
      <c r="F23" s="3" t="s">
        <v>27</v>
      </c>
      <c r="G23" s="3" t="s">
        <v>302</v>
      </c>
      <c r="H23" s="3" t="s">
        <v>33</v>
      </c>
      <c r="I23" s="3">
        <v>4.0</v>
      </c>
      <c r="J23" s="3" t="s">
        <v>23</v>
      </c>
      <c r="K23" s="3" t="s">
        <v>303</v>
      </c>
      <c r="L23" s="3" t="s">
        <v>24</v>
      </c>
      <c r="M23" s="3" t="s">
        <v>24</v>
      </c>
      <c r="N23" s="3" t="s">
        <v>359</v>
      </c>
      <c r="O23" s="3" t="s">
        <v>126</v>
      </c>
      <c r="P23" s="3" t="s">
        <v>360</v>
      </c>
      <c r="Q23" s="3" t="s">
        <v>358</v>
      </c>
      <c r="R23" s="2"/>
      <c r="S23" s="2"/>
      <c r="T23" s="2"/>
      <c r="U23" s="2"/>
      <c r="V23" s="2"/>
      <c r="W23" s="2"/>
      <c r="X23" s="2"/>
      <c r="Y23" s="2"/>
    </row>
    <row r="24">
      <c r="A24" s="5" t="str">
        <f>IFERROR(__xludf.DUMMYFUNCTION("LEFT(A23, 4) &amp; TEXT(VALUE(REGEXEXTRACT(A23, ""\d+"")) + 1, ""0000"")"),"HAG-0022")</f>
        <v>HAG-0022</v>
      </c>
      <c r="B24" s="3" t="s">
        <v>300</v>
      </c>
      <c r="C24" s="3" t="s">
        <v>355</v>
      </c>
      <c r="D24" s="2" t="str">
        <f t="shared" si="1"/>
        <v>ARMA DE LUZ | M</v>
      </c>
      <c r="E24" s="3" t="s">
        <v>48</v>
      </c>
      <c r="F24" s="3" t="s">
        <v>28</v>
      </c>
      <c r="G24" s="3" t="s">
        <v>302</v>
      </c>
      <c r="H24" s="3" t="s">
        <v>33</v>
      </c>
      <c r="I24" s="3">
        <v>4.0</v>
      </c>
      <c r="J24" s="3" t="s">
        <v>23</v>
      </c>
      <c r="K24" s="3" t="s">
        <v>303</v>
      </c>
      <c r="L24" s="3" t="s">
        <v>24</v>
      </c>
      <c r="M24" s="3" t="s">
        <v>24</v>
      </c>
      <c r="N24" s="3" t="s">
        <v>361</v>
      </c>
      <c r="O24" s="3" t="s">
        <v>131</v>
      </c>
      <c r="P24" s="3" t="s">
        <v>362</v>
      </c>
      <c r="Q24" s="3" t="s">
        <v>358</v>
      </c>
      <c r="R24" s="2"/>
      <c r="S24" s="2"/>
      <c r="T24" s="2"/>
      <c r="U24" s="2"/>
      <c r="V24" s="2"/>
      <c r="W24" s="2"/>
      <c r="X24" s="2"/>
      <c r="Y24" s="2"/>
    </row>
    <row r="25">
      <c r="A25" s="5" t="str">
        <f>IFERROR(__xludf.DUMMYFUNCTION("LEFT(A24, 4) &amp; TEXT(VALUE(REGEXEXTRACT(A24, ""\d+"")) + 1, ""0000"")"),"HAG-0023")</f>
        <v>HAG-0023</v>
      </c>
      <c r="B25" s="3" t="s">
        <v>300</v>
      </c>
      <c r="C25" s="3" t="s">
        <v>355</v>
      </c>
      <c r="D25" s="2" t="str">
        <f t="shared" si="1"/>
        <v>ARMA DE LUZ | M</v>
      </c>
      <c r="E25" s="3" t="s">
        <v>48</v>
      </c>
      <c r="F25" s="3" t="s">
        <v>29</v>
      </c>
      <c r="G25" s="3" t="s">
        <v>302</v>
      </c>
      <c r="H25" s="3" t="s">
        <v>33</v>
      </c>
      <c r="I25" s="3">
        <v>4.0</v>
      </c>
      <c r="J25" s="3" t="s">
        <v>23</v>
      </c>
      <c r="K25" s="3" t="s">
        <v>303</v>
      </c>
      <c r="L25" s="3" t="s">
        <v>24</v>
      </c>
      <c r="M25" s="3" t="s">
        <v>24</v>
      </c>
      <c r="N25" s="3" t="s">
        <v>363</v>
      </c>
      <c r="O25" s="3" t="s">
        <v>131</v>
      </c>
      <c r="P25" s="3" t="s">
        <v>364</v>
      </c>
      <c r="Q25" s="3" t="s">
        <v>358</v>
      </c>
      <c r="R25" s="2"/>
      <c r="S25" s="2"/>
      <c r="T25" s="2"/>
      <c r="U25" s="2"/>
      <c r="V25" s="2"/>
      <c r="W25" s="2"/>
      <c r="X25" s="2"/>
      <c r="Y25" s="2"/>
    </row>
    <row r="26">
      <c r="A26" s="5" t="str">
        <f>IFERROR(__xludf.DUMMYFUNCTION("LEFT(A25, 4) &amp; TEXT(VALUE(REGEXEXTRACT(A25, ""\d+"")) + 1, ""0000"")"),"HAG-0024")</f>
        <v>HAG-0024</v>
      </c>
      <c r="B26" s="3" t="s">
        <v>300</v>
      </c>
      <c r="C26" s="3" t="s">
        <v>355</v>
      </c>
      <c r="D26" s="2" t="str">
        <f t="shared" si="1"/>
        <v>ARMA DE LUZ | M</v>
      </c>
      <c r="E26" s="3" t="s">
        <v>48</v>
      </c>
      <c r="F26" s="3" t="s">
        <v>30</v>
      </c>
      <c r="G26" s="3" t="s">
        <v>302</v>
      </c>
      <c r="H26" s="3" t="s">
        <v>33</v>
      </c>
      <c r="I26" s="3">
        <v>4.0</v>
      </c>
      <c r="J26" s="3" t="s">
        <v>23</v>
      </c>
      <c r="K26" s="3" t="s">
        <v>303</v>
      </c>
      <c r="L26" s="3" t="s">
        <v>24</v>
      </c>
      <c r="M26" s="3" t="s">
        <v>24</v>
      </c>
      <c r="N26" s="3" t="s">
        <v>365</v>
      </c>
      <c r="O26" s="3" t="s">
        <v>136</v>
      </c>
      <c r="P26" s="3" t="s">
        <v>366</v>
      </c>
      <c r="Q26" s="3" t="s">
        <v>358</v>
      </c>
      <c r="R26" s="2"/>
      <c r="S26" s="2"/>
      <c r="T26" s="2"/>
      <c r="U26" s="2"/>
      <c r="V26" s="2"/>
      <c r="W26" s="2"/>
      <c r="X26" s="2"/>
      <c r="Y26" s="2"/>
    </row>
    <row r="27">
      <c r="A27" s="5" t="str">
        <f>IFERROR(__xludf.DUMMYFUNCTION("LEFT(A26, 4) &amp; TEXT(VALUE(REGEXEXTRACT(A26, ""\d+"")) + 1, ""0000"")"),"HAG-0025")</f>
        <v>HAG-0025</v>
      </c>
      <c r="B27" s="3" t="s">
        <v>300</v>
      </c>
      <c r="C27" s="3" t="s">
        <v>367</v>
      </c>
      <c r="D27" s="2" t="str">
        <f t="shared" si="1"/>
        <v>DEFENSORES DA FÉ | D</v>
      </c>
      <c r="E27" s="3" t="s">
        <v>76</v>
      </c>
      <c r="F27" s="3" t="s">
        <v>21</v>
      </c>
      <c r="G27" s="3" t="s">
        <v>302</v>
      </c>
      <c r="H27" s="3" t="s">
        <v>368</v>
      </c>
      <c r="I27" s="3">
        <v>8.0</v>
      </c>
      <c r="J27" s="3" t="s">
        <v>126</v>
      </c>
      <c r="K27" s="3" t="s">
        <v>34</v>
      </c>
      <c r="L27" s="6" t="s">
        <v>65</v>
      </c>
      <c r="M27" s="3" t="s">
        <v>65</v>
      </c>
      <c r="N27" s="3" t="s">
        <v>330</v>
      </c>
      <c r="O27" s="3" t="s">
        <v>126</v>
      </c>
      <c r="P27" s="3" t="s">
        <v>369</v>
      </c>
      <c r="Q27" s="2"/>
      <c r="R27" s="2"/>
      <c r="S27" s="2"/>
      <c r="T27" s="2"/>
      <c r="U27" s="2"/>
      <c r="V27" s="2"/>
      <c r="W27" s="2"/>
      <c r="X27" s="2"/>
      <c r="Y27" s="2"/>
    </row>
    <row r="28">
      <c r="A28" s="5" t="str">
        <f>IFERROR(__xludf.DUMMYFUNCTION("LEFT(A27, 4) &amp; TEXT(VALUE(REGEXEXTRACT(A27, ""\d+"")) + 1, ""0000"")"),"HAG-0026")</f>
        <v>HAG-0026</v>
      </c>
      <c r="B28" s="3" t="s">
        <v>300</v>
      </c>
      <c r="C28" s="3" t="s">
        <v>367</v>
      </c>
      <c r="D28" s="2" t="str">
        <f t="shared" si="1"/>
        <v>DEFENSORES DA FÉ | D</v>
      </c>
      <c r="E28" s="3" t="s">
        <v>76</v>
      </c>
      <c r="F28" s="3" t="s">
        <v>27</v>
      </c>
      <c r="G28" s="3" t="s">
        <v>302</v>
      </c>
      <c r="H28" s="3" t="s">
        <v>368</v>
      </c>
      <c r="I28" s="3">
        <v>8.0</v>
      </c>
      <c r="J28" s="3" t="s">
        <v>126</v>
      </c>
      <c r="K28" s="3" t="s">
        <v>34</v>
      </c>
      <c r="L28" s="6" t="s">
        <v>35</v>
      </c>
      <c r="M28" s="3" t="s">
        <v>65</v>
      </c>
      <c r="N28" s="3" t="s">
        <v>333</v>
      </c>
      <c r="O28" s="3" t="s">
        <v>126</v>
      </c>
      <c r="P28" s="3" t="s">
        <v>369</v>
      </c>
      <c r="Q28" s="2"/>
      <c r="R28" s="2"/>
      <c r="S28" s="2"/>
      <c r="T28" s="2"/>
      <c r="U28" s="2"/>
      <c r="V28" s="2"/>
      <c r="W28" s="2"/>
      <c r="X28" s="2"/>
      <c r="Y28" s="2"/>
    </row>
    <row r="29">
      <c r="A29" s="5" t="str">
        <f>IFERROR(__xludf.DUMMYFUNCTION("LEFT(A28, 4) &amp; TEXT(VALUE(REGEXEXTRACT(A28, ""\d+"")) + 1, ""0000"")"),"HAG-0027")</f>
        <v>HAG-0027</v>
      </c>
      <c r="B29" s="3" t="s">
        <v>300</v>
      </c>
      <c r="C29" s="3" t="s">
        <v>367</v>
      </c>
      <c r="D29" s="2" t="str">
        <f t="shared" si="1"/>
        <v>DEFENSORES DA FÉ | D</v>
      </c>
      <c r="E29" s="3" t="s">
        <v>76</v>
      </c>
      <c r="F29" s="3" t="s">
        <v>28</v>
      </c>
      <c r="G29" s="3" t="s">
        <v>302</v>
      </c>
      <c r="H29" s="3" t="s">
        <v>368</v>
      </c>
      <c r="I29" s="3">
        <v>8.0</v>
      </c>
      <c r="J29" s="3" t="s">
        <v>50</v>
      </c>
      <c r="K29" s="3" t="s">
        <v>34</v>
      </c>
      <c r="L29" s="6" t="s">
        <v>70</v>
      </c>
      <c r="M29" s="3" t="s">
        <v>35</v>
      </c>
      <c r="N29" s="3" t="s">
        <v>335</v>
      </c>
      <c r="O29" s="3" t="s">
        <v>131</v>
      </c>
      <c r="P29" s="3" t="s">
        <v>370</v>
      </c>
      <c r="Q29" s="2"/>
      <c r="R29" s="2"/>
      <c r="S29" s="2"/>
      <c r="T29" s="2"/>
      <c r="U29" s="2"/>
      <c r="V29" s="2"/>
      <c r="W29" s="2"/>
      <c r="X29" s="2"/>
      <c r="Y29" s="2"/>
    </row>
    <row r="30">
      <c r="A30" s="5" t="str">
        <f>IFERROR(__xludf.DUMMYFUNCTION("LEFT(A29, 4) &amp; TEXT(VALUE(REGEXEXTRACT(A29, ""\d+"")) + 1, ""0000"")"),"HAG-0028")</f>
        <v>HAG-0028</v>
      </c>
      <c r="B30" s="3" t="s">
        <v>300</v>
      </c>
      <c r="C30" s="3" t="s">
        <v>367</v>
      </c>
      <c r="D30" s="2" t="str">
        <f t="shared" si="1"/>
        <v>DEFENSORES DA FÉ | D</v>
      </c>
      <c r="E30" s="3" t="s">
        <v>76</v>
      </c>
      <c r="F30" s="3" t="s">
        <v>29</v>
      </c>
      <c r="G30" s="3" t="s">
        <v>302</v>
      </c>
      <c r="H30" s="3" t="s">
        <v>368</v>
      </c>
      <c r="I30" s="3">
        <v>8.0</v>
      </c>
      <c r="J30" s="3" t="s">
        <v>50</v>
      </c>
      <c r="K30" s="3" t="s">
        <v>34</v>
      </c>
      <c r="L30" s="6" t="s">
        <v>72</v>
      </c>
      <c r="M30" s="3" t="s">
        <v>35</v>
      </c>
      <c r="N30" s="3" t="s">
        <v>337</v>
      </c>
      <c r="O30" s="3" t="s">
        <v>131</v>
      </c>
      <c r="P30" s="3" t="s">
        <v>370</v>
      </c>
      <c r="Q30" s="2"/>
      <c r="R30" s="2"/>
      <c r="S30" s="2"/>
      <c r="T30" s="2"/>
      <c r="U30" s="2"/>
      <c r="V30" s="2"/>
      <c r="W30" s="2"/>
      <c r="X30" s="2"/>
      <c r="Y30" s="2"/>
    </row>
    <row r="31">
      <c r="A31" s="5" t="str">
        <f>IFERROR(__xludf.DUMMYFUNCTION("LEFT(A30, 4) &amp; TEXT(VALUE(REGEXEXTRACT(A30, ""\d+"")) + 1, ""0000"")"),"HAG-0029")</f>
        <v>HAG-0029</v>
      </c>
      <c r="B31" s="3" t="s">
        <v>300</v>
      </c>
      <c r="C31" s="3" t="s">
        <v>367</v>
      </c>
      <c r="D31" s="2" t="str">
        <f t="shared" si="1"/>
        <v>DEFENSORES DA FÉ | D</v>
      </c>
      <c r="E31" s="3" t="s">
        <v>76</v>
      </c>
      <c r="F31" s="3" t="s">
        <v>30</v>
      </c>
      <c r="G31" s="3" t="s">
        <v>302</v>
      </c>
      <c r="H31" s="3" t="s">
        <v>368</v>
      </c>
      <c r="I31" s="3">
        <v>8.0</v>
      </c>
      <c r="J31" s="3" t="s">
        <v>23</v>
      </c>
      <c r="K31" s="3" t="s">
        <v>34</v>
      </c>
      <c r="L31" s="6" t="s">
        <v>39</v>
      </c>
      <c r="M31" s="3" t="s">
        <v>253</v>
      </c>
      <c r="N31" s="3" t="s">
        <v>339</v>
      </c>
      <c r="O31" s="3" t="s">
        <v>136</v>
      </c>
      <c r="P31" s="3" t="s">
        <v>371</v>
      </c>
      <c r="Q31" s="2"/>
      <c r="R31" s="2"/>
      <c r="S31" s="2"/>
      <c r="T31" s="2"/>
      <c r="U31" s="2"/>
      <c r="V31" s="2"/>
      <c r="W31" s="2"/>
      <c r="X31" s="2"/>
      <c r="Y31" s="2"/>
    </row>
    <row r="32">
      <c r="A32" s="5" t="str">
        <f>IFERROR(__xludf.DUMMYFUNCTION("LEFT(A31, 4) &amp; TEXT(VALUE(REGEXEXTRACT(A31, ""\d+"")) + 1, ""0000"")"),"HAG-0030")</f>
        <v>HAG-0030</v>
      </c>
      <c r="B32" s="3" t="s">
        <v>300</v>
      </c>
      <c r="C32" s="3" t="s">
        <v>372</v>
      </c>
      <c r="D32" s="2" t="str">
        <f t="shared" si="1"/>
        <v>BANIR O MAL | MD</v>
      </c>
      <c r="E32" s="3" t="s">
        <v>94</v>
      </c>
      <c r="F32" s="3" t="s">
        <v>21</v>
      </c>
      <c r="G32" s="3" t="s">
        <v>63</v>
      </c>
      <c r="H32" s="3" t="s">
        <v>368</v>
      </c>
      <c r="I32" s="3">
        <v>16.0</v>
      </c>
      <c r="J32" s="3" t="s">
        <v>126</v>
      </c>
      <c r="K32" s="3" t="s">
        <v>34</v>
      </c>
      <c r="L32" s="6" t="s">
        <v>65</v>
      </c>
      <c r="M32" s="3" t="s">
        <v>65</v>
      </c>
      <c r="N32" s="3" t="s">
        <v>330</v>
      </c>
      <c r="O32" s="3" t="s">
        <v>126</v>
      </c>
      <c r="P32" s="3" t="s">
        <v>373</v>
      </c>
      <c r="Q32" s="3" t="s">
        <v>374</v>
      </c>
      <c r="R32" s="2"/>
      <c r="S32" s="2"/>
      <c r="T32" s="2"/>
      <c r="U32" s="2"/>
      <c r="V32" s="2"/>
      <c r="W32" s="2"/>
      <c r="X32" s="2"/>
      <c r="Y32" s="2"/>
    </row>
    <row r="33">
      <c r="A33" s="5" t="str">
        <f>IFERROR(__xludf.DUMMYFUNCTION("LEFT(A32, 4) &amp; TEXT(VALUE(REGEXEXTRACT(A32, ""\d+"")) + 1, ""0000"")"),"HAG-0031")</f>
        <v>HAG-0031</v>
      </c>
      <c r="B33" s="3" t="s">
        <v>300</v>
      </c>
      <c r="C33" s="3" t="s">
        <v>372</v>
      </c>
      <c r="D33" s="2" t="str">
        <f t="shared" si="1"/>
        <v>BANIR O MAL | MD</v>
      </c>
      <c r="E33" s="3" t="s">
        <v>94</v>
      </c>
      <c r="F33" s="3" t="s">
        <v>27</v>
      </c>
      <c r="G33" s="3" t="s">
        <v>63</v>
      </c>
      <c r="H33" s="3" t="s">
        <v>368</v>
      </c>
      <c r="I33" s="3">
        <v>16.0</v>
      </c>
      <c r="J33" s="3" t="s">
        <v>126</v>
      </c>
      <c r="K33" s="3" t="s">
        <v>34</v>
      </c>
      <c r="L33" s="6" t="s">
        <v>35</v>
      </c>
      <c r="M33" s="3" t="s">
        <v>65</v>
      </c>
      <c r="N33" s="3" t="s">
        <v>333</v>
      </c>
      <c r="O33" s="3" t="s">
        <v>126</v>
      </c>
      <c r="P33" s="3" t="s">
        <v>375</v>
      </c>
      <c r="Q33" s="2"/>
      <c r="R33" s="2"/>
      <c r="S33" s="2"/>
      <c r="T33" s="2"/>
      <c r="U33" s="2"/>
      <c r="V33" s="2"/>
      <c r="W33" s="2"/>
      <c r="X33" s="2"/>
      <c r="Y33" s="2"/>
    </row>
    <row r="34">
      <c r="A34" s="5" t="str">
        <f>IFERROR(__xludf.DUMMYFUNCTION("LEFT(A33, 4) &amp; TEXT(VALUE(REGEXEXTRACT(A33, ""\d+"")) + 1, ""0000"")"),"HAG-0032")</f>
        <v>HAG-0032</v>
      </c>
      <c r="B34" s="3" t="s">
        <v>300</v>
      </c>
      <c r="C34" s="3" t="s">
        <v>372</v>
      </c>
      <c r="D34" s="2" t="str">
        <f t="shared" si="1"/>
        <v>BANIR O MAL | MD</v>
      </c>
      <c r="E34" s="3" t="s">
        <v>94</v>
      </c>
      <c r="F34" s="3" t="s">
        <v>28</v>
      </c>
      <c r="G34" s="3" t="s">
        <v>63</v>
      </c>
      <c r="H34" s="3" t="s">
        <v>368</v>
      </c>
      <c r="I34" s="3">
        <v>16.0</v>
      </c>
      <c r="J34" s="3" t="s">
        <v>50</v>
      </c>
      <c r="K34" s="3" t="s">
        <v>34</v>
      </c>
      <c r="L34" s="6" t="s">
        <v>70</v>
      </c>
      <c r="M34" s="3" t="s">
        <v>35</v>
      </c>
      <c r="N34" s="3" t="s">
        <v>335</v>
      </c>
      <c r="O34" s="3" t="s">
        <v>131</v>
      </c>
      <c r="P34" s="3" t="s">
        <v>376</v>
      </c>
      <c r="Q34" s="2"/>
      <c r="R34" s="2"/>
      <c r="S34" s="2"/>
      <c r="T34" s="2"/>
      <c r="U34" s="2"/>
      <c r="V34" s="2"/>
      <c r="W34" s="2"/>
      <c r="X34" s="2"/>
      <c r="Y34" s="2"/>
    </row>
    <row r="35">
      <c r="A35" s="5" t="str">
        <f>IFERROR(__xludf.DUMMYFUNCTION("LEFT(A34, 4) &amp; TEXT(VALUE(REGEXEXTRACT(A34, ""\d+"")) + 1, ""0000"")"),"HAG-0033")</f>
        <v>HAG-0033</v>
      </c>
      <c r="B35" s="3" t="s">
        <v>300</v>
      </c>
      <c r="C35" s="3" t="s">
        <v>372</v>
      </c>
      <c r="D35" s="2" t="str">
        <f t="shared" si="1"/>
        <v>BANIR O MAL | MD</v>
      </c>
      <c r="E35" s="3" t="s">
        <v>94</v>
      </c>
      <c r="F35" s="3" t="s">
        <v>29</v>
      </c>
      <c r="G35" s="3" t="s">
        <v>63</v>
      </c>
      <c r="H35" s="3" t="s">
        <v>368</v>
      </c>
      <c r="I35" s="3">
        <v>16.0</v>
      </c>
      <c r="J35" s="3" t="s">
        <v>50</v>
      </c>
      <c r="K35" s="3" t="s">
        <v>34</v>
      </c>
      <c r="L35" s="6" t="s">
        <v>72</v>
      </c>
      <c r="M35" s="3" t="s">
        <v>35</v>
      </c>
      <c r="N35" s="3" t="s">
        <v>337</v>
      </c>
      <c r="O35" s="3" t="s">
        <v>131</v>
      </c>
      <c r="P35" s="3" t="s">
        <v>377</v>
      </c>
      <c r="Q35" s="2"/>
      <c r="R35" s="2"/>
      <c r="S35" s="2"/>
      <c r="T35" s="2"/>
      <c r="U35" s="2"/>
      <c r="V35" s="2"/>
      <c r="W35" s="2"/>
      <c r="X35" s="2"/>
      <c r="Y35" s="2"/>
    </row>
    <row r="36">
      <c r="A36" s="5" t="str">
        <f>IFERROR(__xludf.DUMMYFUNCTION("LEFT(A35, 4) &amp; TEXT(VALUE(REGEXEXTRACT(A35, ""\d+"")) + 1, ""0000"")"),"HAG-0034")</f>
        <v>HAG-0034</v>
      </c>
      <c r="B36" s="3" t="s">
        <v>300</v>
      </c>
      <c r="C36" s="3" t="s">
        <v>372</v>
      </c>
      <c r="D36" s="2" t="str">
        <f t="shared" si="1"/>
        <v>BANIR O MAL | MD</v>
      </c>
      <c r="E36" s="3" t="s">
        <v>94</v>
      </c>
      <c r="F36" s="3" t="s">
        <v>30</v>
      </c>
      <c r="G36" s="3" t="s">
        <v>63</v>
      </c>
      <c r="H36" s="3" t="s">
        <v>368</v>
      </c>
      <c r="I36" s="3">
        <v>16.0</v>
      </c>
      <c r="J36" s="3" t="s">
        <v>23</v>
      </c>
      <c r="K36" s="3" t="s">
        <v>34</v>
      </c>
      <c r="L36" s="6" t="s">
        <v>39</v>
      </c>
      <c r="M36" s="3" t="s">
        <v>253</v>
      </c>
      <c r="N36" s="3" t="s">
        <v>339</v>
      </c>
      <c r="O36" s="3" t="s">
        <v>136</v>
      </c>
      <c r="P36" s="3" t="s">
        <v>378</v>
      </c>
      <c r="Q36" s="2"/>
      <c r="R36" s="2"/>
      <c r="S36" s="2"/>
      <c r="T36" s="2"/>
      <c r="U36" s="2"/>
      <c r="V36" s="2"/>
      <c r="W36" s="2"/>
      <c r="X36" s="2"/>
      <c r="Y36" s="2"/>
    </row>
    <row r="37">
      <c r="A37" s="5" t="str">
        <f>IFERROR(__xludf.DUMMYFUNCTION("LEFT(A36, 4) &amp; TEXT(VALUE(REGEXEXTRACT(A36, ""\d+"")) + 1, ""0000"")"),"HAG-0035")</f>
        <v>HAG-0035</v>
      </c>
      <c r="B37" s="3" t="s">
        <v>300</v>
      </c>
      <c r="C37" s="3" t="s">
        <v>379</v>
      </c>
      <c r="D37" s="2" t="str">
        <f t="shared" si="1"/>
        <v>MÃOS CURATIVAS | F</v>
      </c>
      <c r="E37" s="3" t="s">
        <v>20</v>
      </c>
      <c r="F37" s="3" t="s">
        <v>21</v>
      </c>
      <c r="G37" s="3" t="s">
        <v>380</v>
      </c>
      <c r="H37" s="3" t="s">
        <v>381</v>
      </c>
      <c r="I37" s="3">
        <v>2.0</v>
      </c>
      <c r="J37" s="3" t="s">
        <v>23</v>
      </c>
      <c r="K37" s="3" t="s">
        <v>195</v>
      </c>
      <c r="L37" s="3" t="s">
        <v>24</v>
      </c>
      <c r="M37" s="3" t="s">
        <v>124</v>
      </c>
      <c r="N37" s="3" t="s">
        <v>382</v>
      </c>
      <c r="O37" s="3" t="s">
        <v>23</v>
      </c>
      <c r="P37" s="3" t="s">
        <v>383</v>
      </c>
      <c r="Q37" s="3" t="s">
        <v>384</v>
      </c>
      <c r="R37" s="2"/>
      <c r="S37" s="2"/>
      <c r="T37" s="2"/>
      <c r="U37" s="2"/>
      <c r="V37" s="2"/>
      <c r="W37" s="2"/>
      <c r="X37" s="2"/>
      <c r="Y37" s="2"/>
    </row>
    <row r="38">
      <c r="A38" s="5" t="str">
        <f>IFERROR(__xludf.DUMMYFUNCTION("LEFT(A37, 4) &amp; TEXT(VALUE(REGEXEXTRACT(A37, ""\d+"")) + 1, ""0000"")"),"HAG-0036")</f>
        <v>HAG-0036</v>
      </c>
      <c r="B38" s="3" t="s">
        <v>300</v>
      </c>
      <c r="C38" s="3" t="s">
        <v>379</v>
      </c>
      <c r="D38" s="2" t="str">
        <f t="shared" si="1"/>
        <v>MÃOS CURATIVAS | F</v>
      </c>
      <c r="E38" s="3" t="s">
        <v>20</v>
      </c>
      <c r="F38" s="3" t="s">
        <v>27</v>
      </c>
      <c r="G38" s="3" t="s">
        <v>380</v>
      </c>
      <c r="H38" s="3" t="s">
        <v>381</v>
      </c>
      <c r="I38" s="3">
        <v>2.0</v>
      </c>
      <c r="J38" s="3" t="s">
        <v>23</v>
      </c>
      <c r="K38" s="3" t="s">
        <v>195</v>
      </c>
      <c r="L38" s="3" t="s">
        <v>24</v>
      </c>
      <c r="M38" s="3" t="s">
        <v>124</v>
      </c>
      <c r="N38" s="3" t="s">
        <v>385</v>
      </c>
      <c r="O38" s="3" t="s">
        <v>23</v>
      </c>
      <c r="P38" s="3" t="s">
        <v>386</v>
      </c>
      <c r="Q38" s="3" t="s">
        <v>384</v>
      </c>
      <c r="R38" s="2"/>
      <c r="S38" s="2"/>
      <c r="T38" s="2"/>
      <c r="U38" s="2"/>
      <c r="V38" s="2"/>
      <c r="W38" s="2"/>
      <c r="X38" s="2"/>
      <c r="Y38" s="2"/>
    </row>
    <row r="39">
      <c r="A39" s="5" t="str">
        <f>IFERROR(__xludf.DUMMYFUNCTION("LEFT(A38, 4) &amp; TEXT(VALUE(REGEXEXTRACT(A38, ""\d+"")) + 1, ""0000"")"),"HAG-0037")</f>
        <v>HAG-0037</v>
      </c>
      <c r="B39" s="3" t="s">
        <v>300</v>
      </c>
      <c r="C39" s="3" t="s">
        <v>379</v>
      </c>
      <c r="D39" s="2" t="str">
        <f t="shared" si="1"/>
        <v>MÃOS CURATIVAS | F</v>
      </c>
      <c r="E39" s="3" t="s">
        <v>20</v>
      </c>
      <c r="F39" s="3" t="s">
        <v>28</v>
      </c>
      <c r="G39" s="3" t="s">
        <v>380</v>
      </c>
      <c r="H39" s="3" t="s">
        <v>381</v>
      </c>
      <c r="I39" s="3">
        <v>2.0</v>
      </c>
      <c r="J39" s="3" t="s">
        <v>23</v>
      </c>
      <c r="K39" s="3" t="s">
        <v>195</v>
      </c>
      <c r="L39" s="3" t="s">
        <v>24</v>
      </c>
      <c r="M39" s="3" t="s">
        <v>124</v>
      </c>
      <c r="N39" s="3" t="s">
        <v>387</v>
      </c>
      <c r="O39" s="3" t="s">
        <v>23</v>
      </c>
      <c r="P39" s="3" t="s">
        <v>388</v>
      </c>
      <c r="Q39" s="3" t="s">
        <v>384</v>
      </c>
      <c r="R39" s="2"/>
      <c r="S39" s="2"/>
      <c r="T39" s="2"/>
      <c r="U39" s="2"/>
      <c r="V39" s="2"/>
      <c r="W39" s="2"/>
      <c r="X39" s="2"/>
      <c r="Y39" s="2"/>
    </row>
    <row r="40">
      <c r="A40" s="5" t="str">
        <f>IFERROR(__xludf.DUMMYFUNCTION("LEFT(A39, 4) &amp; TEXT(VALUE(REGEXEXTRACT(A39, ""\d+"")) + 1, ""0000"")"),"HAG-0038")</f>
        <v>HAG-0038</v>
      </c>
      <c r="B40" s="3" t="s">
        <v>300</v>
      </c>
      <c r="C40" s="3" t="s">
        <v>379</v>
      </c>
      <c r="D40" s="2" t="str">
        <f t="shared" si="1"/>
        <v>MÃOS CURATIVAS | F</v>
      </c>
      <c r="E40" s="3" t="s">
        <v>20</v>
      </c>
      <c r="F40" s="3" t="s">
        <v>29</v>
      </c>
      <c r="G40" s="3" t="s">
        <v>380</v>
      </c>
      <c r="H40" s="3" t="s">
        <v>381</v>
      </c>
      <c r="I40" s="3">
        <v>2.0</v>
      </c>
      <c r="J40" s="3" t="s">
        <v>23</v>
      </c>
      <c r="K40" s="3" t="s">
        <v>195</v>
      </c>
      <c r="L40" s="3" t="s">
        <v>24</v>
      </c>
      <c r="M40" s="3" t="s">
        <v>124</v>
      </c>
      <c r="N40" s="3" t="s">
        <v>389</v>
      </c>
      <c r="O40" s="3" t="s">
        <v>23</v>
      </c>
      <c r="P40" s="3" t="s">
        <v>390</v>
      </c>
      <c r="Q40" s="3" t="s">
        <v>384</v>
      </c>
      <c r="R40" s="2"/>
      <c r="S40" s="2"/>
      <c r="T40" s="2"/>
      <c r="U40" s="2"/>
      <c r="V40" s="2"/>
      <c r="W40" s="2"/>
      <c r="X40" s="2"/>
      <c r="Y40" s="2"/>
    </row>
    <row r="41">
      <c r="A41" s="5" t="str">
        <f>IFERROR(__xludf.DUMMYFUNCTION("LEFT(A40, 4) &amp; TEXT(VALUE(REGEXEXTRACT(A40, ""\d+"")) + 1, ""0000"")"),"HAG-0039")</f>
        <v>HAG-0039</v>
      </c>
      <c r="B41" s="3" t="s">
        <v>300</v>
      </c>
      <c r="C41" s="3" t="s">
        <v>379</v>
      </c>
      <c r="D41" s="2" t="str">
        <f t="shared" si="1"/>
        <v>MÃOS CURATIVAS | F</v>
      </c>
      <c r="E41" s="3" t="s">
        <v>20</v>
      </c>
      <c r="F41" s="3" t="s">
        <v>30</v>
      </c>
      <c r="G41" s="3" t="s">
        <v>380</v>
      </c>
      <c r="H41" s="3" t="s">
        <v>381</v>
      </c>
      <c r="I41" s="3">
        <v>2.0</v>
      </c>
      <c r="J41" s="3" t="s">
        <v>23</v>
      </c>
      <c r="K41" s="3" t="s">
        <v>195</v>
      </c>
      <c r="L41" s="3" t="s">
        <v>24</v>
      </c>
      <c r="M41" s="3" t="s">
        <v>124</v>
      </c>
      <c r="N41" s="3" t="s">
        <v>391</v>
      </c>
      <c r="O41" s="3" t="s">
        <v>23</v>
      </c>
      <c r="P41" s="3" t="s">
        <v>392</v>
      </c>
      <c r="Q41" s="3" t="s">
        <v>384</v>
      </c>
      <c r="R41" s="2"/>
      <c r="S41" s="2"/>
      <c r="T41" s="2"/>
      <c r="U41" s="2"/>
      <c r="V41" s="2"/>
      <c r="W41" s="2"/>
      <c r="X41" s="2"/>
      <c r="Y41" s="2"/>
    </row>
    <row r="42">
      <c r="A42" s="5" t="str">
        <f>IFERROR(__xludf.DUMMYFUNCTION("LEFT(A41, 4) &amp; TEXT(VALUE(REGEXEXTRACT(A41, ""\d+"")) + 1, ""0000"")"),"HAG-0040")</f>
        <v>HAG-0040</v>
      </c>
      <c r="B42" s="3" t="s">
        <v>300</v>
      </c>
      <c r="C42" s="3" t="s">
        <v>393</v>
      </c>
      <c r="D42" s="2" t="str">
        <f t="shared" si="1"/>
        <v>CURA PROJETADA | M</v>
      </c>
      <c r="E42" s="3" t="s">
        <v>48</v>
      </c>
      <c r="F42" s="3" t="s">
        <v>21</v>
      </c>
      <c r="G42" s="3" t="s">
        <v>380</v>
      </c>
      <c r="H42" s="3" t="s">
        <v>394</v>
      </c>
      <c r="I42" s="3">
        <v>4.0</v>
      </c>
      <c r="J42" s="3" t="s">
        <v>126</v>
      </c>
      <c r="K42" s="3" t="s">
        <v>95</v>
      </c>
      <c r="L42" s="6" t="s">
        <v>65</v>
      </c>
      <c r="M42" s="3" t="s">
        <v>124</v>
      </c>
      <c r="N42" s="3" t="s">
        <v>395</v>
      </c>
      <c r="O42" s="3" t="s">
        <v>23</v>
      </c>
      <c r="P42" s="3" t="s">
        <v>396</v>
      </c>
      <c r="Q42" s="3" t="s">
        <v>384</v>
      </c>
      <c r="R42" s="2"/>
      <c r="S42" s="2"/>
      <c r="T42" s="2"/>
      <c r="U42" s="2"/>
      <c r="V42" s="2"/>
      <c r="W42" s="2"/>
      <c r="X42" s="2"/>
      <c r="Y42" s="2"/>
    </row>
    <row r="43">
      <c r="A43" s="5" t="str">
        <f>IFERROR(__xludf.DUMMYFUNCTION("LEFT(A42, 4) &amp; TEXT(VALUE(REGEXEXTRACT(A42, ""\d+"")) + 1, ""0000"")"),"HAG-0041")</f>
        <v>HAG-0041</v>
      </c>
      <c r="B43" s="3" t="s">
        <v>300</v>
      </c>
      <c r="C43" s="3" t="s">
        <v>393</v>
      </c>
      <c r="D43" s="2" t="str">
        <f t="shared" si="1"/>
        <v>CURA PROJETADA | M</v>
      </c>
      <c r="E43" s="3" t="s">
        <v>48</v>
      </c>
      <c r="F43" s="3" t="s">
        <v>27</v>
      </c>
      <c r="G43" s="3" t="s">
        <v>380</v>
      </c>
      <c r="H43" s="3" t="s">
        <v>394</v>
      </c>
      <c r="I43" s="3">
        <v>4.0</v>
      </c>
      <c r="J43" s="3" t="s">
        <v>126</v>
      </c>
      <c r="K43" s="3" t="s">
        <v>95</v>
      </c>
      <c r="L43" s="6" t="s">
        <v>35</v>
      </c>
      <c r="M43" s="3" t="s">
        <v>124</v>
      </c>
      <c r="N43" s="3" t="s">
        <v>397</v>
      </c>
      <c r="O43" s="3" t="s">
        <v>23</v>
      </c>
      <c r="P43" s="3" t="s">
        <v>398</v>
      </c>
      <c r="Q43" s="3" t="s">
        <v>384</v>
      </c>
      <c r="R43" s="2"/>
      <c r="S43" s="2"/>
      <c r="T43" s="2"/>
      <c r="U43" s="2"/>
      <c r="V43" s="2"/>
      <c r="W43" s="2"/>
      <c r="X43" s="2"/>
      <c r="Y43" s="2"/>
    </row>
    <row r="44">
      <c r="A44" s="5" t="str">
        <f>IFERROR(__xludf.DUMMYFUNCTION("LEFT(A43, 4) &amp; TEXT(VALUE(REGEXEXTRACT(A43, ""\d+"")) + 1, ""0000"")"),"HAG-0042")</f>
        <v>HAG-0042</v>
      </c>
      <c r="B44" s="3" t="s">
        <v>300</v>
      </c>
      <c r="C44" s="3" t="s">
        <v>393</v>
      </c>
      <c r="D44" s="2" t="str">
        <f t="shared" si="1"/>
        <v>CURA PROJETADA | M</v>
      </c>
      <c r="E44" s="3" t="s">
        <v>48</v>
      </c>
      <c r="F44" s="3" t="s">
        <v>28</v>
      </c>
      <c r="G44" s="3" t="s">
        <v>380</v>
      </c>
      <c r="H44" s="3" t="s">
        <v>394</v>
      </c>
      <c r="I44" s="3">
        <v>4.0</v>
      </c>
      <c r="J44" s="3" t="s">
        <v>50</v>
      </c>
      <c r="K44" s="3" t="s">
        <v>95</v>
      </c>
      <c r="L44" s="6" t="s">
        <v>70</v>
      </c>
      <c r="M44" s="3" t="s">
        <v>124</v>
      </c>
      <c r="N44" s="3" t="s">
        <v>399</v>
      </c>
      <c r="O44" s="3" t="s">
        <v>23</v>
      </c>
      <c r="P44" s="3" t="s">
        <v>400</v>
      </c>
      <c r="Q44" s="3" t="s">
        <v>384</v>
      </c>
      <c r="R44" s="2"/>
      <c r="S44" s="2"/>
      <c r="T44" s="2"/>
      <c r="U44" s="2"/>
      <c r="V44" s="2"/>
      <c r="W44" s="2"/>
      <c r="X44" s="2"/>
      <c r="Y44" s="2"/>
    </row>
    <row r="45">
      <c r="A45" s="5" t="str">
        <f>IFERROR(__xludf.DUMMYFUNCTION("LEFT(A44, 4) &amp; TEXT(VALUE(REGEXEXTRACT(A44, ""\d+"")) + 1, ""0000"")"),"HAG-0043")</f>
        <v>HAG-0043</v>
      </c>
      <c r="B45" s="3" t="s">
        <v>300</v>
      </c>
      <c r="C45" s="3" t="s">
        <v>393</v>
      </c>
      <c r="D45" s="2" t="str">
        <f t="shared" si="1"/>
        <v>CURA PROJETADA | M</v>
      </c>
      <c r="E45" s="3" t="s">
        <v>48</v>
      </c>
      <c r="F45" s="3" t="s">
        <v>29</v>
      </c>
      <c r="G45" s="3" t="s">
        <v>380</v>
      </c>
      <c r="H45" s="3" t="s">
        <v>394</v>
      </c>
      <c r="I45" s="3">
        <v>4.0</v>
      </c>
      <c r="J45" s="3" t="s">
        <v>50</v>
      </c>
      <c r="K45" s="3" t="s">
        <v>95</v>
      </c>
      <c r="L45" s="6" t="s">
        <v>72</v>
      </c>
      <c r="M45" s="3" t="s">
        <v>124</v>
      </c>
      <c r="N45" s="3" t="s">
        <v>401</v>
      </c>
      <c r="O45" s="3" t="s">
        <v>23</v>
      </c>
      <c r="P45" s="3" t="s">
        <v>402</v>
      </c>
      <c r="Q45" s="3" t="s">
        <v>384</v>
      </c>
      <c r="R45" s="2"/>
      <c r="S45" s="2"/>
      <c r="T45" s="2"/>
      <c r="U45" s="2"/>
      <c r="V45" s="2"/>
      <c r="W45" s="2"/>
      <c r="X45" s="2"/>
      <c r="Y45" s="2"/>
    </row>
    <row r="46">
      <c r="A46" s="5" t="str">
        <f>IFERROR(__xludf.DUMMYFUNCTION("LEFT(A45, 4) &amp; TEXT(VALUE(REGEXEXTRACT(A45, ""\d+"")) + 1, ""0000"")"),"HAG-0044")</f>
        <v>HAG-0044</v>
      </c>
      <c r="B46" s="3" t="s">
        <v>300</v>
      </c>
      <c r="C46" s="3" t="s">
        <v>393</v>
      </c>
      <c r="D46" s="2" t="str">
        <f t="shared" si="1"/>
        <v>CURA PROJETADA | M</v>
      </c>
      <c r="E46" s="3" t="s">
        <v>48</v>
      </c>
      <c r="F46" s="3" t="s">
        <v>30</v>
      </c>
      <c r="G46" s="3" t="s">
        <v>380</v>
      </c>
      <c r="H46" s="3" t="s">
        <v>394</v>
      </c>
      <c r="I46" s="3">
        <v>4.0</v>
      </c>
      <c r="J46" s="3" t="s">
        <v>23</v>
      </c>
      <c r="K46" s="3" t="s">
        <v>95</v>
      </c>
      <c r="L46" s="6" t="s">
        <v>39</v>
      </c>
      <c r="M46" s="3" t="s">
        <v>124</v>
      </c>
      <c r="N46" s="3" t="s">
        <v>403</v>
      </c>
      <c r="O46" s="3" t="s">
        <v>23</v>
      </c>
      <c r="P46" s="3" t="s">
        <v>404</v>
      </c>
      <c r="Q46" s="3" t="s">
        <v>384</v>
      </c>
      <c r="R46" s="2"/>
      <c r="S46" s="2"/>
      <c r="T46" s="2"/>
      <c r="U46" s="2"/>
      <c r="V46" s="2"/>
      <c r="W46" s="2"/>
      <c r="X46" s="2"/>
      <c r="Y46" s="2"/>
    </row>
    <row r="47">
      <c r="A47" s="5" t="str">
        <f>IFERROR(__xludf.DUMMYFUNCTION("LEFT(A46, 4) &amp; TEXT(VALUE(REGEXEXTRACT(A46, ""\d+"")) + 1, ""0000"")"),"HAG-0045")</f>
        <v>HAG-0045</v>
      </c>
      <c r="B47" s="3" t="s">
        <v>300</v>
      </c>
      <c r="C47" s="3" t="s">
        <v>405</v>
      </c>
      <c r="D47" s="2" t="str">
        <f t="shared" si="1"/>
        <v>CURA SAGRADA | MD</v>
      </c>
      <c r="E47" s="3" t="s">
        <v>94</v>
      </c>
      <c r="F47" s="3" t="s">
        <v>21</v>
      </c>
      <c r="G47" s="3" t="s">
        <v>380</v>
      </c>
      <c r="H47" s="3" t="s">
        <v>394</v>
      </c>
      <c r="I47" s="3">
        <v>8.0</v>
      </c>
      <c r="J47" s="3" t="s">
        <v>126</v>
      </c>
      <c r="K47" s="3" t="s">
        <v>34</v>
      </c>
      <c r="L47" s="6" t="s">
        <v>65</v>
      </c>
      <c r="M47" s="3" t="s">
        <v>65</v>
      </c>
      <c r="N47" s="3" t="s">
        <v>406</v>
      </c>
      <c r="O47" s="3" t="s">
        <v>23</v>
      </c>
      <c r="P47" s="3" t="s">
        <v>407</v>
      </c>
      <c r="Q47" s="3" t="s">
        <v>384</v>
      </c>
      <c r="R47" s="2"/>
      <c r="S47" s="2"/>
      <c r="T47" s="2"/>
      <c r="U47" s="2"/>
      <c r="V47" s="2"/>
      <c r="W47" s="2"/>
      <c r="X47" s="2"/>
      <c r="Y47" s="2"/>
    </row>
    <row r="48">
      <c r="A48" s="5" t="str">
        <f>IFERROR(__xludf.DUMMYFUNCTION("LEFT(A47, 4) &amp; TEXT(VALUE(REGEXEXTRACT(A47, ""\d+"")) + 1, ""0000"")"),"HAG-0046")</f>
        <v>HAG-0046</v>
      </c>
      <c r="B48" s="3" t="s">
        <v>300</v>
      </c>
      <c r="C48" s="3" t="s">
        <v>405</v>
      </c>
      <c r="D48" s="2" t="str">
        <f t="shared" si="1"/>
        <v>CURA SAGRADA | MD</v>
      </c>
      <c r="E48" s="3" t="s">
        <v>94</v>
      </c>
      <c r="F48" s="3" t="s">
        <v>27</v>
      </c>
      <c r="G48" s="3" t="s">
        <v>380</v>
      </c>
      <c r="H48" s="3" t="s">
        <v>394</v>
      </c>
      <c r="I48" s="3">
        <v>8.0</v>
      </c>
      <c r="J48" s="3" t="s">
        <v>126</v>
      </c>
      <c r="K48" s="3" t="s">
        <v>34</v>
      </c>
      <c r="L48" s="6" t="s">
        <v>35</v>
      </c>
      <c r="M48" s="3" t="s">
        <v>65</v>
      </c>
      <c r="N48" s="3" t="s">
        <v>408</v>
      </c>
      <c r="O48" s="3" t="s">
        <v>23</v>
      </c>
      <c r="P48" s="3" t="s">
        <v>409</v>
      </c>
      <c r="Q48" s="3" t="s">
        <v>384</v>
      </c>
      <c r="R48" s="2"/>
      <c r="S48" s="2"/>
      <c r="T48" s="2"/>
      <c r="U48" s="2"/>
      <c r="V48" s="2"/>
      <c r="W48" s="2"/>
      <c r="X48" s="2"/>
      <c r="Y48" s="2"/>
    </row>
    <row r="49">
      <c r="A49" s="5" t="str">
        <f>IFERROR(__xludf.DUMMYFUNCTION("LEFT(A48, 4) &amp; TEXT(VALUE(REGEXEXTRACT(A48, ""\d+"")) + 1, ""0000"")"),"HAG-0047")</f>
        <v>HAG-0047</v>
      </c>
      <c r="B49" s="3" t="s">
        <v>300</v>
      </c>
      <c r="C49" s="3" t="s">
        <v>405</v>
      </c>
      <c r="D49" s="2" t="str">
        <f t="shared" si="1"/>
        <v>CURA SAGRADA | MD</v>
      </c>
      <c r="E49" s="3" t="s">
        <v>94</v>
      </c>
      <c r="F49" s="3" t="s">
        <v>28</v>
      </c>
      <c r="G49" s="3" t="s">
        <v>380</v>
      </c>
      <c r="H49" s="3" t="s">
        <v>394</v>
      </c>
      <c r="I49" s="3">
        <v>8.0</v>
      </c>
      <c r="J49" s="3" t="s">
        <v>50</v>
      </c>
      <c r="K49" s="3" t="s">
        <v>34</v>
      </c>
      <c r="L49" s="6" t="s">
        <v>70</v>
      </c>
      <c r="M49" s="3" t="s">
        <v>35</v>
      </c>
      <c r="N49" s="3" t="s">
        <v>410</v>
      </c>
      <c r="O49" s="3" t="s">
        <v>23</v>
      </c>
      <c r="P49" s="3" t="s">
        <v>411</v>
      </c>
      <c r="Q49" s="3" t="s">
        <v>384</v>
      </c>
      <c r="R49" s="2"/>
      <c r="S49" s="2"/>
      <c r="T49" s="2"/>
      <c r="U49" s="2"/>
      <c r="V49" s="2"/>
      <c r="W49" s="2"/>
      <c r="X49" s="2"/>
      <c r="Y49" s="2"/>
    </row>
    <row r="50">
      <c r="A50" s="5" t="str">
        <f>IFERROR(__xludf.DUMMYFUNCTION("LEFT(A49, 4) &amp; TEXT(VALUE(REGEXEXTRACT(A49, ""\d+"")) + 1, ""0000"")"),"HAG-0048")</f>
        <v>HAG-0048</v>
      </c>
      <c r="B50" s="3" t="s">
        <v>300</v>
      </c>
      <c r="C50" s="3" t="s">
        <v>405</v>
      </c>
      <c r="D50" s="2" t="str">
        <f t="shared" si="1"/>
        <v>CURA SAGRADA | MD</v>
      </c>
      <c r="E50" s="3" t="s">
        <v>94</v>
      </c>
      <c r="F50" s="3" t="s">
        <v>29</v>
      </c>
      <c r="G50" s="3" t="s">
        <v>380</v>
      </c>
      <c r="H50" s="3" t="s">
        <v>394</v>
      </c>
      <c r="I50" s="3">
        <v>8.0</v>
      </c>
      <c r="J50" s="3" t="s">
        <v>50</v>
      </c>
      <c r="K50" s="3" t="s">
        <v>34</v>
      </c>
      <c r="L50" s="6" t="s">
        <v>72</v>
      </c>
      <c r="M50" s="3" t="s">
        <v>35</v>
      </c>
      <c r="N50" s="3" t="s">
        <v>412</v>
      </c>
      <c r="O50" s="3" t="s">
        <v>23</v>
      </c>
      <c r="P50" s="3" t="s">
        <v>413</v>
      </c>
      <c r="Q50" s="3" t="s">
        <v>384</v>
      </c>
      <c r="R50" s="2"/>
      <c r="S50" s="2"/>
      <c r="T50" s="2"/>
      <c r="U50" s="2"/>
      <c r="V50" s="2"/>
      <c r="W50" s="2"/>
      <c r="X50" s="2"/>
      <c r="Y50" s="2"/>
    </row>
    <row r="51">
      <c r="A51" s="5" t="str">
        <f>IFERROR(__xludf.DUMMYFUNCTION("LEFT(A50, 4) &amp; TEXT(VALUE(REGEXEXTRACT(A50, ""\d+"")) + 1, ""0000"")"),"HAG-0049")</f>
        <v>HAG-0049</v>
      </c>
      <c r="B51" s="3" t="s">
        <v>300</v>
      </c>
      <c r="C51" s="3" t="s">
        <v>405</v>
      </c>
      <c r="D51" s="2" t="str">
        <f t="shared" si="1"/>
        <v>CURA SAGRADA | MD</v>
      </c>
      <c r="E51" s="3" t="s">
        <v>94</v>
      </c>
      <c r="F51" s="3" t="s">
        <v>30</v>
      </c>
      <c r="G51" s="3" t="s">
        <v>380</v>
      </c>
      <c r="H51" s="3" t="s">
        <v>394</v>
      </c>
      <c r="I51" s="3">
        <v>8.0</v>
      </c>
      <c r="J51" s="3" t="s">
        <v>23</v>
      </c>
      <c r="K51" s="3" t="s">
        <v>34</v>
      </c>
      <c r="L51" s="6" t="s">
        <v>39</v>
      </c>
      <c r="M51" s="3" t="s">
        <v>253</v>
      </c>
      <c r="N51" s="3" t="s">
        <v>353</v>
      </c>
      <c r="O51" s="3" t="s">
        <v>23</v>
      </c>
      <c r="P51" s="3" t="s">
        <v>414</v>
      </c>
      <c r="Q51" s="3" t="s">
        <v>384</v>
      </c>
      <c r="R51" s="2"/>
      <c r="S51" s="2"/>
      <c r="T51" s="2"/>
      <c r="U51" s="2"/>
      <c r="V51" s="2"/>
      <c r="W51" s="2"/>
      <c r="X51" s="2"/>
      <c r="Y51" s="2"/>
    </row>
    <row r="52">
      <c r="A52" s="5" t="str">
        <f>IFERROR(__xludf.DUMMYFUNCTION("LEFT(A51, 4) &amp; TEXT(VALUE(REGEXEXTRACT(A51, ""\d+"")) + 1, ""0000"")"),"HAG-0050")</f>
        <v>HAG-0050</v>
      </c>
      <c r="B52" s="3" t="s">
        <v>300</v>
      </c>
      <c r="C52" s="3" t="s">
        <v>415</v>
      </c>
      <c r="D52" s="2" t="str">
        <f t="shared" si="1"/>
        <v>LÁGRIMAS DA NEGAÇÃO | MD</v>
      </c>
      <c r="E52" s="3" t="s">
        <v>94</v>
      </c>
      <c r="F52" s="3" t="s">
        <v>21</v>
      </c>
      <c r="G52" s="3" t="s">
        <v>86</v>
      </c>
      <c r="H52" s="3" t="s">
        <v>381</v>
      </c>
      <c r="I52" s="3">
        <v>16.0</v>
      </c>
      <c r="J52" s="3" t="s">
        <v>126</v>
      </c>
      <c r="K52" s="3" t="s">
        <v>24</v>
      </c>
      <c r="L52" s="3" t="s">
        <v>24</v>
      </c>
      <c r="M52" s="3" t="s">
        <v>24</v>
      </c>
      <c r="N52" s="3" t="s">
        <v>276</v>
      </c>
      <c r="O52" s="3" t="s">
        <v>294</v>
      </c>
      <c r="P52" s="3" t="s">
        <v>416</v>
      </c>
      <c r="Q52" s="3" t="s">
        <v>417</v>
      </c>
      <c r="R52" s="2"/>
      <c r="S52" s="2"/>
      <c r="T52" s="2"/>
      <c r="U52" s="2"/>
      <c r="V52" s="2"/>
      <c r="W52" s="2"/>
      <c r="X52" s="2"/>
      <c r="Y52" s="2"/>
    </row>
    <row r="53">
      <c r="A53" s="5" t="str">
        <f>IFERROR(__xludf.DUMMYFUNCTION("LEFT(A52, 4) &amp; TEXT(VALUE(REGEXEXTRACT(A52, ""\d+"")) + 1, ""0000"")"),"HAG-0051")</f>
        <v>HAG-0051</v>
      </c>
      <c r="B53" s="3" t="s">
        <v>300</v>
      </c>
      <c r="C53" s="3" t="s">
        <v>415</v>
      </c>
      <c r="D53" s="2" t="str">
        <f t="shared" si="1"/>
        <v>LÁGRIMAS DA NEGAÇÃO | MD</v>
      </c>
      <c r="E53" s="3" t="s">
        <v>94</v>
      </c>
      <c r="F53" s="3" t="s">
        <v>27</v>
      </c>
      <c r="G53" s="3" t="s">
        <v>86</v>
      </c>
      <c r="H53" s="3" t="s">
        <v>381</v>
      </c>
      <c r="I53" s="3">
        <v>16.0</v>
      </c>
      <c r="J53" s="3" t="s">
        <v>126</v>
      </c>
      <c r="K53" s="3" t="s">
        <v>24</v>
      </c>
      <c r="L53" s="3" t="s">
        <v>24</v>
      </c>
      <c r="M53" s="3" t="s">
        <v>24</v>
      </c>
      <c r="N53" s="3" t="s">
        <v>280</v>
      </c>
      <c r="O53" s="3" t="s">
        <v>281</v>
      </c>
      <c r="P53" s="3" t="s">
        <v>418</v>
      </c>
      <c r="Q53" s="3" t="s">
        <v>417</v>
      </c>
      <c r="R53" s="2"/>
      <c r="S53" s="2"/>
      <c r="T53" s="2"/>
      <c r="U53" s="2"/>
      <c r="V53" s="2"/>
      <c r="W53" s="2"/>
      <c r="X53" s="2"/>
      <c r="Y53" s="2"/>
    </row>
    <row r="54">
      <c r="A54" s="5" t="str">
        <f>IFERROR(__xludf.DUMMYFUNCTION("LEFT(A53, 4) &amp; TEXT(VALUE(REGEXEXTRACT(A53, ""\d+"")) + 1, ""0000"")"),"HAG-0052")</f>
        <v>HAG-0052</v>
      </c>
      <c r="B54" s="3" t="s">
        <v>300</v>
      </c>
      <c r="C54" s="3" t="s">
        <v>415</v>
      </c>
      <c r="D54" s="2" t="str">
        <f t="shared" si="1"/>
        <v>LÁGRIMAS DA NEGAÇÃO | MD</v>
      </c>
      <c r="E54" s="3" t="s">
        <v>94</v>
      </c>
      <c r="F54" s="3" t="s">
        <v>28</v>
      </c>
      <c r="G54" s="3" t="s">
        <v>86</v>
      </c>
      <c r="H54" s="3" t="s">
        <v>381</v>
      </c>
      <c r="I54" s="3">
        <v>16.0</v>
      </c>
      <c r="J54" s="3" t="s">
        <v>50</v>
      </c>
      <c r="K54" s="3" t="s">
        <v>24</v>
      </c>
      <c r="L54" s="3" t="s">
        <v>24</v>
      </c>
      <c r="M54" s="3" t="s">
        <v>24</v>
      </c>
      <c r="N54" s="3" t="s">
        <v>282</v>
      </c>
      <c r="O54" s="3" t="s">
        <v>283</v>
      </c>
      <c r="P54" s="3" t="s">
        <v>419</v>
      </c>
      <c r="Q54" s="3" t="s">
        <v>417</v>
      </c>
      <c r="R54" s="2"/>
      <c r="S54" s="2"/>
      <c r="T54" s="2"/>
      <c r="U54" s="2"/>
      <c r="V54" s="2"/>
      <c r="W54" s="2"/>
      <c r="X54" s="2"/>
      <c r="Y54" s="2"/>
    </row>
    <row r="55">
      <c r="A55" s="5" t="str">
        <f>IFERROR(__xludf.DUMMYFUNCTION("LEFT(A54, 4) &amp; TEXT(VALUE(REGEXEXTRACT(A54, ""\d+"")) + 1, ""0000"")"),"HAG-0053")</f>
        <v>HAG-0053</v>
      </c>
      <c r="B55" s="3" t="s">
        <v>300</v>
      </c>
      <c r="C55" s="3" t="s">
        <v>415</v>
      </c>
      <c r="D55" s="2" t="str">
        <f t="shared" si="1"/>
        <v>LÁGRIMAS DA NEGAÇÃO | MD</v>
      </c>
      <c r="E55" s="3" t="s">
        <v>94</v>
      </c>
      <c r="F55" s="3" t="s">
        <v>29</v>
      </c>
      <c r="G55" s="3" t="s">
        <v>86</v>
      </c>
      <c r="H55" s="3" t="s">
        <v>381</v>
      </c>
      <c r="I55" s="3">
        <v>16.0</v>
      </c>
      <c r="J55" s="3" t="s">
        <v>50</v>
      </c>
      <c r="K55" s="3" t="s">
        <v>24</v>
      </c>
      <c r="L55" s="3" t="s">
        <v>24</v>
      </c>
      <c r="M55" s="3" t="s">
        <v>24</v>
      </c>
      <c r="N55" s="3" t="s">
        <v>284</v>
      </c>
      <c r="O55" s="3" t="s">
        <v>420</v>
      </c>
      <c r="P55" s="3" t="s">
        <v>421</v>
      </c>
      <c r="Q55" s="3" t="s">
        <v>417</v>
      </c>
      <c r="R55" s="2"/>
      <c r="S55" s="2"/>
      <c r="T55" s="2"/>
      <c r="U55" s="2"/>
      <c r="V55" s="2"/>
      <c r="W55" s="2"/>
      <c r="X55" s="2"/>
      <c r="Y55" s="2"/>
    </row>
    <row r="56">
      <c r="A56" s="5" t="str">
        <f>IFERROR(__xludf.DUMMYFUNCTION("LEFT(A55, 4) &amp; TEXT(VALUE(REGEXEXTRACT(A55, ""\d+"")) + 1, ""0000"")"),"HAG-0054")</f>
        <v>HAG-0054</v>
      </c>
      <c r="B56" s="3" t="s">
        <v>300</v>
      </c>
      <c r="C56" s="3" t="s">
        <v>415</v>
      </c>
      <c r="D56" s="2" t="str">
        <f t="shared" si="1"/>
        <v>LÁGRIMAS DA NEGAÇÃO | MD</v>
      </c>
      <c r="E56" s="3" t="s">
        <v>94</v>
      </c>
      <c r="F56" s="3" t="s">
        <v>30</v>
      </c>
      <c r="G56" s="3" t="s">
        <v>86</v>
      </c>
      <c r="H56" s="3" t="s">
        <v>381</v>
      </c>
      <c r="I56" s="3">
        <v>16.0</v>
      </c>
      <c r="J56" s="3" t="s">
        <v>23</v>
      </c>
      <c r="K56" s="3" t="s">
        <v>24</v>
      </c>
      <c r="L56" s="3" t="s">
        <v>24</v>
      </c>
      <c r="M56" s="3" t="s">
        <v>24</v>
      </c>
      <c r="N56" s="3" t="s">
        <v>286</v>
      </c>
      <c r="O56" s="3" t="s">
        <v>287</v>
      </c>
      <c r="P56" s="3" t="s">
        <v>422</v>
      </c>
      <c r="Q56" s="3" t="s">
        <v>417</v>
      </c>
      <c r="R56" s="2"/>
      <c r="S56" s="2"/>
      <c r="T56" s="2"/>
      <c r="U56" s="2"/>
      <c r="V56" s="2"/>
      <c r="W56" s="2"/>
      <c r="X56" s="2"/>
      <c r="Y56" s="2"/>
    </row>
    <row r="57">
      <c r="A57" s="5" t="str">
        <f>IFERROR(__xludf.DUMMYFUNCTION("LEFT(A56, 4) &amp; TEXT(VALUE(REGEXEXTRACT(A56, ""\d+"")) + 1, ""0000"")"),"HAG-0055")</f>
        <v>HAG-0055</v>
      </c>
      <c r="B57" s="3" t="s">
        <v>300</v>
      </c>
      <c r="C57" s="3" t="s">
        <v>423</v>
      </c>
      <c r="D57" s="2" t="str">
        <f t="shared" si="1"/>
        <v>PAREDE DE LUZ | D</v>
      </c>
      <c r="E57" s="3" t="s">
        <v>76</v>
      </c>
      <c r="F57" s="3" t="s">
        <v>21</v>
      </c>
      <c r="G57" s="3" t="s">
        <v>214</v>
      </c>
      <c r="H57" s="3" t="s">
        <v>33</v>
      </c>
      <c r="I57" s="3">
        <v>8.0</v>
      </c>
      <c r="J57" s="3" t="s">
        <v>50</v>
      </c>
      <c r="K57" s="3" t="s">
        <v>247</v>
      </c>
      <c r="L57" s="6" t="s">
        <v>65</v>
      </c>
      <c r="M57" s="3" t="s">
        <v>65</v>
      </c>
      <c r="N57" s="3" t="s">
        <v>248</v>
      </c>
      <c r="O57" s="3" t="s">
        <v>126</v>
      </c>
      <c r="P57" s="3" t="s">
        <v>424</v>
      </c>
      <c r="Q57" s="3" t="s">
        <v>425</v>
      </c>
      <c r="R57" s="2"/>
      <c r="S57" s="2"/>
      <c r="T57" s="2"/>
      <c r="U57" s="2"/>
      <c r="V57" s="2"/>
      <c r="W57" s="2"/>
      <c r="X57" s="2"/>
      <c r="Y57" s="2"/>
    </row>
    <row r="58">
      <c r="A58" s="5" t="str">
        <f>IFERROR(__xludf.DUMMYFUNCTION("LEFT(A57, 4) &amp; TEXT(VALUE(REGEXEXTRACT(A57, ""\d+"")) + 1, ""0000"")"),"HAG-0056")</f>
        <v>HAG-0056</v>
      </c>
      <c r="B58" s="3" t="s">
        <v>300</v>
      </c>
      <c r="C58" s="3" t="s">
        <v>423</v>
      </c>
      <c r="D58" s="2" t="str">
        <f t="shared" si="1"/>
        <v>PAREDE DE LUZ | D</v>
      </c>
      <c r="E58" s="3" t="s">
        <v>76</v>
      </c>
      <c r="F58" s="3" t="s">
        <v>27</v>
      </c>
      <c r="G58" s="3" t="s">
        <v>214</v>
      </c>
      <c r="H58" s="3" t="s">
        <v>33</v>
      </c>
      <c r="I58" s="3">
        <v>8.0</v>
      </c>
      <c r="J58" s="3" t="s">
        <v>50</v>
      </c>
      <c r="K58" s="3" t="s">
        <v>247</v>
      </c>
      <c r="L58" s="6" t="s">
        <v>35</v>
      </c>
      <c r="M58" s="3" t="s">
        <v>65</v>
      </c>
      <c r="N58" s="3" t="s">
        <v>250</v>
      </c>
      <c r="O58" s="3" t="s">
        <v>126</v>
      </c>
      <c r="P58" s="3" t="s">
        <v>424</v>
      </c>
      <c r="Q58" s="3" t="s">
        <v>425</v>
      </c>
      <c r="R58" s="2"/>
      <c r="S58" s="2"/>
      <c r="T58" s="2"/>
      <c r="U58" s="2"/>
      <c r="V58" s="2"/>
      <c r="W58" s="2"/>
      <c r="X58" s="2"/>
      <c r="Y58" s="2"/>
    </row>
    <row r="59">
      <c r="A59" s="5" t="str">
        <f>IFERROR(__xludf.DUMMYFUNCTION("LEFT(A58, 4) &amp; TEXT(VALUE(REGEXEXTRACT(A58, ""\d+"")) + 1, ""0000"")"),"HAG-0057")</f>
        <v>HAG-0057</v>
      </c>
      <c r="B59" s="3" t="s">
        <v>300</v>
      </c>
      <c r="C59" s="3" t="s">
        <v>423</v>
      </c>
      <c r="D59" s="2" t="str">
        <f t="shared" si="1"/>
        <v>PAREDE DE LUZ | D</v>
      </c>
      <c r="E59" s="3" t="s">
        <v>76</v>
      </c>
      <c r="F59" s="3" t="s">
        <v>28</v>
      </c>
      <c r="G59" s="3" t="s">
        <v>214</v>
      </c>
      <c r="H59" s="3" t="s">
        <v>33</v>
      </c>
      <c r="I59" s="3">
        <v>8.0</v>
      </c>
      <c r="J59" s="3" t="s">
        <v>50</v>
      </c>
      <c r="K59" s="3" t="s">
        <v>247</v>
      </c>
      <c r="L59" s="6" t="s">
        <v>70</v>
      </c>
      <c r="M59" s="3" t="s">
        <v>35</v>
      </c>
      <c r="N59" s="3" t="s">
        <v>251</v>
      </c>
      <c r="O59" s="3" t="s">
        <v>131</v>
      </c>
      <c r="P59" s="3" t="s">
        <v>424</v>
      </c>
      <c r="Q59" s="3" t="s">
        <v>425</v>
      </c>
      <c r="R59" s="2"/>
      <c r="S59" s="2"/>
      <c r="T59" s="2"/>
      <c r="U59" s="2"/>
      <c r="V59" s="2"/>
      <c r="W59" s="2"/>
      <c r="X59" s="2"/>
      <c r="Y59" s="2"/>
    </row>
    <row r="60">
      <c r="A60" s="5" t="str">
        <f>IFERROR(__xludf.DUMMYFUNCTION("LEFT(A59, 4) &amp; TEXT(VALUE(REGEXEXTRACT(A59, ""\d+"")) + 1, ""0000"")"),"HAG-0058")</f>
        <v>HAG-0058</v>
      </c>
      <c r="B60" s="3" t="s">
        <v>300</v>
      </c>
      <c r="C60" s="3" t="s">
        <v>423</v>
      </c>
      <c r="D60" s="2" t="str">
        <f t="shared" si="1"/>
        <v>PAREDE DE LUZ | D</v>
      </c>
      <c r="E60" s="3" t="s">
        <v>76</v>
      </c>
      <c r="F60" s="3" t="s">
        <v>29</v>
      </c>
      <c r="G60" s="3" t="s">
        <v>214</v>
      </c>
      <c r="H60" s="3" t="s">
        <v>33</v>
      </c>
      <c r="I60" s="3">
        <v>8.0</v>
      </c>
      <c r="J60" s="3" t="s">
        <v>50</v>
      </c>
      <c r="K60" s="3" t="s">
        <v>247</v>
      </c>
      <c r="L60" s="6" t="s">
        <v>72</v>
      </c>
      <c r="M60" s="3" t="s">
        <v>35</v>
      </c>
      <c r="N60" s="3" t="s">
        <v>252</v>
      </c>
      <c r="O60" s="3" t="s">
        <v>131</v>
      </c>
      <c r="P60" s="3" t="s">
        <v>424</v>
      </c>
      <c r="Q60" s="3" t="s">
        <v>425</v>
      </c>
      <c r="R60" s="2"/>
      <c r="S60" s="2"/>
      <c r="T60" s="2"/>
      <c r="U60" s="2"/>
      <c r="V60" s="2"/>
      <c r="W60" s="2"/>
      <c r="X60" s="2"/>
      <c r="Y60" s="2"/>
    </row>
    <row r="61">
      <c r="A61" s="5" t="str">
        <f>IFERROR(__xludf.DUMMYFUNCTION("LEFT(A60, 4) &amp; TEXT(VALUE(REGEXEXTRACT(A60, ""\d+"")) + 1, ""0000"")"),"HAG-0059")</f>
        <v>HAG-0059</v>
      </c>
      <c r="B61" s="3" t="s">
        <v>300</v>
      </c>
      <c r="C61" s="3" t="s">
        <v>423</v>
      </c>
      <c r="D61" s="2" t="str">
        <f t="shared" si="1"/>
        <v>PAREDE DE LUZ | D</v>
      </c>
      <c r="E61" s="3" t="s">
        <v>76</v>
      </c>
      <c r="F61" s="3" t="s">
        <v>30</v>
      </c>
      <c r="G61" s="3" t="s">
        <v>214</v>
      </c>
      <c r="H61" s="3" t="s">
        <v>33</v>
      </c>
      <c r="I61" s="3">
        <v>8.0</v>
      </c>
      <c r="J61" s="3" t="s">
        <v>23</v>
      </c>
      <c r="K61" s="3" t="s">
        <v>247</v>
      </c>
      <c r="L61" s="6" t="s">
        <v>39</v>
      </c>
      <c r="M61" s="3" t="s">
        <v>253</v>
      </c>
      <c r="N61" s="3" t="s">
        <v>254</v>
      </c>
      <c r="O61" s="3" t="s">
        <v>136</v>
      </c>
      <c r="P61" s="3" t="s">
        <v>424</v>
      </c>
      <c r="Q61" s="3" t="s">
        <v>425</v>
      </c>
      <c r="R61" s="2"/>
      <c r="S61" s="2"/>
      <c r="T61" s="2"/>
      <c r="U61" s="2"/>
      <c r="V61" s="2"/>
      <c r="W61" s="2"/>
      <c r="X61" s="2"/>
      <c r="Y61" s="2"/>
    </row>
    <row r="62">
      <c r="A62" s="5" t="str">
        <f>IFERROR(__xludf.DUMMYFUNCTION("LEFT(A61, 4) &amp; TEXT(VALUE(REGEXEXTRACT(A61, ""\d+"")) + 1, ""0000"")"),"HAG-0060")</f>
        <v>HAG-0060</v>
      </c>
      <c r="B62" s="3" t="s">
        <v>300</v>
      </c>
      <c r="C62" s="3" t="s">
        <v>426</v>
      </c>
      <c r="D62" s="2" t="str">
        <f t="shared" si="1"/>
        <v>LANÇA DE LUZ | F</v>
      </c>
      <c r="E62" s="3" t="s">
        <v>20</v>
      </c>
      <c r="F62" s="3" t="s">
        <v>21</v>
      </c>
      <c r="G62" s="3" t="s">
        <v>146</v>
      </c>
      <c r="H62" s="3" t="s">
        <v>33</v>
      </c>
      <c r="I62" s="3">
        <v>4.0</v>
      </c>
      <c r="J62" s="3" t="s">
        <v>23</v>
      </c>
      <c r="K62" s="3" t="s">
        <v>95</v>
      </c>
      <c r="L62" s="3" t="s">
        <v>147</v>
      </c>
      <c r="M62" s="3" t="s">
        <v>66</v>
      </c>
      <c r="N62" s="3" t="s">
        <v>427</v>
      </c>
      <c r="O62" s="3" t="s">
        <v>23</v>
      </c>
      <c r="P62" s="3" t="s">
        <v>428</v>
      </c>
      <c r="Q62" s="2"/>
      <c r="R62" s="2"/>
      <c r="S62" s="2"/>
      <c r="T62" s="2"/>
      <c r="U62" s="2"/>
      <c r="V62" s="2"/>
      <c r="W62" s="2"/>
      <c r="X62" s="2"/>
      <c r="Y62" s="2"/>
    </row>
    <row r="63">
      <c r="A63" s="5" t="str">
        <f>IFERROR(__xludf.DUMMYFUNCTION("LEFT(A62, 4) &amp; TEXT(VALUE(REGEXEXTRACT(A62, ""\d+"")) + 1, ""0000"")"),"HAG-0061")</f>
        <v>HAG-0061</v>
      </c>
      <c r="B63" s="3" t="s">
        <v>300</v>
      </c>
      <c r="C63" s="3" t="s">
        <v>426</v>
      </c>
      <c r="D63" s="2" t="str">
        <f t="shared" si="1"/>
        <v>LANÇA DE LUZ | F</v>
      </c>
      <c r="E63" s="3" t="s">
        <v>20</v>
      </c>
      <c r="F63" s="3" t="s">
        <v>27</v>
      </c>
      <c r="G63" s="3" t="s">
        <v>146</v>
      </c>
      <c r="H63" s="3" t="s">
        <v>33</v>
      </c>
      <c r="I63" s="3">
        <v>4.0</v>
      </c>
      <c r="J63" s="3" t="s">
        <v>23</v>
      </c>
      <c r="K63" s="3" t="s">
        <v>95</v>
      </c>
      <c r="L63" s="3" t="s">
        <v>151</v>
      </c>
      <c r="M63" s="3" t="s">
        <v>66</v>
      </c>
      <c r="N63" s="3" t="s">
        <v>427</v>
      </c>
      <c r="O63" s="3" t="s">
        <v>23</v>
      </c>
      <c r="P63" s="3" t="s">
        <v>429</v>
      </c>
      <c r="Q63" s="2"/>
      <c r="R63" s="2"/>
      <c r="S63" s="2"/>
      <c r="T63" s="2"/>
      <c r="U63" s="2"/>
      <c r="V63" s="2"/>
      <c r="W63" s="2"/>
      <c r="X63" s="2"/>
      <c r="Y63" s="2"/>
    </row>
    <row r="64">
      <c r="A64" s="5" t="str">
        <f>IFERROR(__xludf.DUMMYFUNCTION("LEFT(A63, 4) &amp; TEXT(VALUE(REGEXEXTRACT(A63, ""\d+"")) + 1, ""0000"")"),"HAG-0062")</f>
        <v>HAG-0062</v>
      </c>
      <c r="B64" s="3" t="s">
        <v>300</v>
      </c>
      <c r="C64" s="3" t="s">
        <v>426</v>
      </c>
      <c r="D64" s="2" t="str">
        <f t="shared" si="1"/>
        <v>LANÇA DE LUZ | F</v>
      </c>
      <c r="E64" s="3" t="s">
        <v>20</v>
      </c>
      <c r="F64" s="3" t="s">
        <v>28</v>
      </c>
      <c r="G64" s="3" t="s">
        <v>146</v>
      </c>
      <c r="H64" s="3" t="s">
        <v>33</v>
      </c>
      <c r="I64" s="3">
        <v>4.0</v>
      </c>
      <c r="J64" s="3" t="s">
        <v>23</v>
      </c>
      <c r="K64" s="3" t="s">
        <v>95</v>
      </c>
      <c r="L64" s="3" t="s">
        <v>152</v>
      </c>
      <c r="M64" s="3" t="s">
        <v>66</v>
      </c>
      <c r="N64" s="3" t="s">
        <v>430</v>
      </c>
      <c r="O64" s="3" t="s">
        <v>23</v>
      </c>
      <c r="P64" s="3" t="s">
        <v>431</v>
      </c>
      <c r="Q64" s="2"/>
      <c r="R64" s="2"/>
      <c r="S64" s="2"/>
      <c r="T64" s="2"/>
      <c r="U64" s="2"/>
      <c r="V64" s="2"/>
      <c r="W64" s="2"/>
      <c r="X64" s="2"/>
      <c r="Y64" s="2"/>
    </row>
    <row r="65">
      <c r="A65" s="5" t="str">
        <f>IFERROR(__xludf.DUMMYFUNCTION("LEFT(A64, 4) &amp; TEXT(VALUE(REGEXEXTRACT(A64, ""\d+"")) + 1, ""0000"")"),"HAG-0063")</f>
        <v>HAG-0063</v>
      </c>
      <c r="B65" s="3" t="s">
        <v>300</v>
      </c>
      <c r="C65" s="3" t="s">
        <v>426</v>
      </c>
      <c r="D65" s="2" t="str">
        <f t="shared" si="1"/>
        <v>LANÇA DE LUZ | F</v>
      </c>
      <c r="E65" s="3" t="s">
        <v>20</v>
      </c>
      <c r="F65" s="3" t="s">
        <v>29</v>
      </c>
      <c r="G65" s="3" t="s">
        <v>146</v>
      </c>
      <c r="H65" s="3" t="s">
        <v>33</v>
      </c>
      <c r="I65" s="3">
        <v>4.0</v>
      </c>
      <c r="J65" s="3" t="s">
        <v>23</v>
      </c>
      <c r="K65" s="3" t="s">
        <v>95</v>
      </c>
      <c r="L65" s="3" t="s">
        <v>155</v>
      </c>
      <c r="M65" s="3" t="s">
        <v>66</v>
      </c>
      <c r="N65" s="3" t="s">
        <v>430</v>
      </c>
      <c r="O65" s="3" t="s">
        <v>23</v>
      </c>
      <c r="P65" s="3" t="s">
        <v>432</v>
      </c>
      <c r="Q65" s="2"/>
      <c r="R65" s="2"/>
      <c r="S65" s="2"/>
      <c r="T65" s="2"/>
      <c r="U65" s="2"/>
      <c r="V65" s="2"/>
      <c r="W65" s="2"/>
      <c r="X65" s="2"/>
      <c r="Y65" s="2"/>
    </row>
    <row r="66">
      <c r="A66" s="5" t="str">
        <f>IFERROR(__xludf.DUMMYFUNCTION("LEFT(A65, 4) &amp; TEXT(VALUE(REGEXEXTRACT(A65, ""\d+"")) + 1, ""0000"")"),"HAG-0064")</f>
        <v>HAG-0064</v>
      </c>
      <c r="B66" s="3" t="s">
        <v>300</v>
      </c>
      <c r="C66" s="3" t="s">
        <v>426</v>
      </c>
      <c r="D66" s="2" t="str">
        <f t="shared" si="1"/>
        <v>LANÇA DE LUZ | F</v>
      </c>
      <c r="E66" s="3" t="s">
        <v>20</v>
      </c>
      <c r="F66" s="3" t="s">
        <v>30</v>
      </c>
      <c r="G66" s="3" t="s">
        <v>146</v>
      </c>
      <c r="H66" s="3" t="s">
        <v>33</v>
      </c>
      <c r="I66" s="3">
        <v>4.0</v>
      </c>
      <c r="J66" s="3" t="s">
        <v>23</v>
      </c>
      <c r="K66" s="3" t="s">
        <v>95</v>
      </c>
      <c r="L66" s="3" t="s">
        <v>156</v>
      </c>
      <c r="M66" s="3" t="s">
        <v>66</v>
      </c>
      <c r="N66" s="3" t="s">
        <v>433</v>
      </c>
      <c r="O66" s="3" t="s">
        <v>23</v>
      </c>
      <c r="P66" s="3" t="s">
        <v>434</v>
      </c>
      <c r="Q66" s="2"/>
      <c r="R66" s="2"/>
      <c r="S66" s="2"/>
      <c r="T66" s="2"/>
      <c r="U66" s="2"/>
      <c r="V66" s="2"/>
      <c r="W66" s="2"/>
      <c r="X66" s="2"/>
      <c r="Y66" s="2"/>
    </row>
    <row r="67">
      <c r="A67" s="5" t="str">
        <f>IFERROR(__xludf.DUMMYFUNCTION("LEFT(A66, 4) &amp; TEXT(VALUE(REGEXEXTRACT(A66, ""\d+"")) + 1, ""0000"")"),"HAG-0065")</f>
        <v>HAG-0065</v>
      </c>
      <c r="B67" s="3" t="s">
        <v>300</v>
      </c>
      <c r="C67" s="3" t="s">
        <v>435</v>
      </c>
      <c r="D67" s="2" t="str">
        <f t="shared" si="1"/>
        <v>LANÇA DE LUZ PURIFICADORA | M</v>
      </c>
      <c r="E67" s="3" t="s">
        <v>48</v>
      </c>
      <c r="F67" s="3" t="s">
        <v>21</v>
      </c>
      <c r="G67" s="3" t="s">
        <v>146</v>
      </c>
      <c r="H67" s="3" t="s">
        <v>436</v>
      </c>
      <c r="I67" s="3">
        <v>8.0</v>
      </c>
      <c r="J67" s="3" t="s">
        <v>23</v>
      </c>
      <c r="K67" s="3" t="s">
        <v>247</v>
      </c>
      <c r="L67" s="3" t="s">
        <v>147</v>
      </c>
      <c r="M67" s="3" t="s">
        <v>289</v>
      </c>
      <c r="N67" s="3" t="s">
        <v>427</v>
      </c>
      <c r="O67" s="3" t="s">
        <v>23</v>
      </c>
      <c r="P67" s="3" t="s">
        <v>428</v>
      </c>
      <c r="Q67" s="3" t="s">
        <v>437</v>
      </c>
      <c r="R67" s="2"/>
      <c r="S67" s="2"/>
      <c r="T67" s="2"/>
      <c r="U67" s="2"/>
      <c r="V67" s="2"/>
      <c r="W67" s="2"/>
      <c r="X67" s="2"/>
      <c r="Y67" s="2"/>
    </row>
    <row r="68">
      <c r="A68" s="5" t="str">
        <f>IFERROR(__xludf.DUMMYFUNCTION("LEFT(A67, 4) &amp; TEXT(VALUE(REGEXEXTRACT(A67, ""\d+"")) + 1, ""0000"")"),"HAG-0066")</f>
        <v>HAG-0066</v>
      </c>
      <c r="B68" s="3" t="s">
        <v>300</v>
      </c>
      <c r="C68" s="3" t="s">
        <v>435</v>
      </c>
      <c r="D68" s="2" t="str">
        <f t="shared" si="1"/>
        <v>LANÇA DE LUZ PURIFICADORA | M</v>
      </c>
      <c r="E68" s="3" t="s">
        <v>48</v>
      </c>
      <c r="F68" s="3" t="s">
        <v>27</v>
      </c>
      <c r="G68" s="3" t="s">
        <v>146</v>
      </c>
      <c r="H68" s="3" t="s">
        <v>436</v>
      </c>
      <c r="I68" s="3">
        <v>8.0</v>
      </c>
      <c r="J68" s="3" t="s">
        <v>23</v>
      </c>
      <c r="K68" s="3" t="s">
        <v>247</v>
      </c>
      <c r="L68" s="3" t="s">
        <v>151</v>
      </c>
      <c r="M68" s="3" t="s">
        <v>289</v>
      </c>
      <c r="N68" s="3" t="s">
        <v>427</v>
      </c>
      <c r="O68" s="3" t="s">
        <v>23</v>
      </c>
      <c r="P68" s="3" t="s">
        <v>429</v>
      </c>
      <c r="Q68" s="3" t="s">
        <v>437</v>
      </c>
      <c r="R68" s="2"/>
      <c r="S68" s="2"/>
      <c r="T68" s="2"/>
      <c r="U68" s="2"/>
      <c r="V68" s="2"/>
      <c r="W68" s="2"/>
      <c r="X68" s="2"/>
      <c r="Y68" s="2"/>
    </row>
    <row r="69">
      <c r="A69" s="5" t="str">
        <f>IFERROR(__xludf.DUMMYFUNCTION("LEFT(A68, 4) &amp; TEXT(VALUE(REGEXEXTRACT(A68, ""\d+"")) + 1, ""0000"")"),"HAG-0067")</f>
        <v>HAG-0067</v>
      </c>
      <c r="B69" s="3" t="s">
        <v>300</v>
      </c>
      <c r="C69" s="3" t="s">
        <v>435</v>
      </c>
      <c r="D69" s="2" t="str">
        <f t="shared" si="1"/>
        <v>LANÇA DE LUZ PURIFICADORA | M</v>
      </c>
      <c r="E69" s="3" t="s">
        <v>48</v>
      </c>
      <c r="F69" s="3" t="s">
        <v>28</v>
      </c>
      <c r="G69" s="3" t="s">
        <v>146</v>
      </c>
      <c r="H69" s="3" t="s">
        <v>436</v>
      </c>
      <c r="I69" s="3">
        <v>8.0</v>
      </c>
      <c r="J69" s="3" t="s">
        <v>23</v>
      </c>
      <c r="K69" s="3" t="s">
        <v>247</v>
      </c>
      <c r="L69" s="3" t="s">
        <v>152</v>
      </c>
      <c r="M69" s="3" t="s">
        <v>65</v>
      </c>
      <c r="N69" s="3" t="s">
        <v>430</v>
      </c>
      <c r="O69" s="3" t="s">
        <v>23</v>
      </c>
      <c r="P69" s="3" t="s">
        <v>431</v>
      </c>
      <c r="Q69" s="3" t="s">
        <v>438</v>
      </c>
      <c r="R69" s="2"/>
      <c r="S69" s="2"/>
      <c r="T69" s="2"/>
      <c r="U69" s="2"/>
      <c r="V69" s="2"/>
      <c r="W69" s="2"/>
      <c r="X69" s="2"/>
      <c r="Y69" s="2"/>
    </row>
    <row r="70">
      <c r="A70" s="5" t="str">
        <f>IFERROR(__xludf.DUMMYFUNCTION("LEFT(A69, 4) &amp; TEXT(VALUE(REGEXEXTRACT(A69, ""\d+"")) + 1, ""0000"")"),"HAG-0068")</f>
        <v>HAG-0068</v>
      </c>
      <c r="B70" s="3" t="s">
        <v>300</v>
      </c>
      <c r="C70" s="3" t="s">
        <v>435</v>
      </c>
      <c r="D70" s="2" t="str">
        <f t="shared" si="1"/>
        <v>LANÇA DE LUZ PURIFICADORA | M</v>
      </c>
      <c r="E70" s="3" t="s">
        <v>48</v>
      </c>
      <c r="F70" s="3" t="s">
        <v>29</v>
      </c>
      <c r="G70" s="3" t="s">
        <v>146</v>
      </c>
      <c r="H70" s="3" t="s">
        <v>436</v>
      </c>
      <c r="I70" s="3">
        <v>8.0</v>
      </c>
      <c r="J70" s="3" t="s">
        <v>23</v>
      </c>
      <c r="K70" s="3" t="s">
        <v>247</v>
      </c>
      <c r="L70" s="3" t="s">
        <v>155</v>
      </c>
      <c r="M70" s="3" t="s">
        <v>439</v>
      </c>
      <c r="N70" s="3" t="s">
        <v>430</v>
      </c>
      <c r="O70" s="3" t="s">
        <v>23</v>
      </c>
      <c r="P70" s="3" t="s">
        <v>432</v>
      </c>
      <c r="Q70" s="3" t="s">
        <v>438</v>
      </c>
      <c r="R70" s="2"/>
      <c r="S70" s="2"/>
      <c r="T70" s="2"/>
      <c r="U70" s="2"/>
      <c r="V70" s="2"/>
      <c r="W70" s="2"/>
      <c r="X70" s="2"/>
      <c r="Y70" s="2"/>
    </row>
    <row r="71">
      <c r="A71" s="5" t="str">
        <f>IFERROR(__xludf.DUMMYFUNCTION("LEFT(A70, 4) &amp; TEXT(VALUE(REGEXEXTRACT(A70, ""\d+"")) + 1, ""0000"")"),"HAG-0069")</f>
        <v>HAG-0069</v>
      </c>
      <c r="B71" s="3" t="s">
        <v>300</v>
      </c>
      <c r="C71" s="3" t="s">
        <v>435</v>
      </c>
      <c r="D71" s="2" t="str">
        <f t="shared" si="1"/>
        <v>LANÇA DE LUZ PURIFICADORA | M</v>
      </c>
      <c r="E71" s="3" t="s">
        <v>48</v>
      </c>
      <c r="F71" s="3" t="s">
        <v>30</v>
      </c>
      <c r="G71" s="3" t="s">
        <v>146</v>
      </c>
      <c r="H71" s="3" t="s">
        <v>436</v>
      </c>
      <c r="I71" s="3">
        <v>8.0</v>
      </c>
      <c r="J71" s="3" t="s">
        <v>23</v>
      </c>
      <c r="K71" s="3" t="s">
        <v>247</v>
      </c>
      <c r="L71" s="3" t="s">
        <v>156</v>
      </c>
      <c r="M71" s="3" t="s">
        <v>35</v>
      </c>
      <c r="N71" s="3" t="s">
        <v>433</v>
      </c>
      <c r="O71" s="3" t="s">
        <v>23</v>
      </c>
      <c r="P71" s="3" t="s">
        <v>434</v>
      </c>
      <c r="Q71" s="3" t="s">
        <v>440</v>
      </c>
      <c r="R71" s="2"/>
      <c r="S71" s="2"/>
      <c r="T71" s="2"/>
      <c r="U71" s="2"/>
      <c r="V71" s="2"/>
      <c r="W71" s="2"/>
      <c r="X71" s="2"/>
      <c r="Y71" s="2"/>
    </row>
    <row r="72">
      <c r="A72" s="5" t="str">
        <f>IFERROR(__xludf.DUMMYFUNCTION("LEFT(A71, 4) &amp; TEXT(VALUE(REGEXEXTRACT(A71, ""\d+"")) + 1, ""0000"")"),"HAG-0070")</f>
        <v>HAG-0070</v>
      </c>
      <c r="B72" s="3" t="s">
        <v>300</v>
      </c>
      <c r="C72" s="3" t="s">
        <v>441</v>
      </c>
      <c r="D72" s="2" t="str">
        <f t="shared" si="1"/>
        <v>LANÇA DE LUZ INQUISITORA | D</v>
      </c>
      <c r="E72" s="3" t="s">
        <v>76</v>
      </c>
      <c r="F72" s="3" t="s">
        <v>21</v>
      </c>
      <c r="G72" s="3" t="s">
        <v>146</v>
      </c>
      <c r="H72" s="3" t="s">
        <v>436</v>
      </c>
      <c r="I72" s="3">
        <v>16.0</v>
      </c>
      <c r="J72" s="3" t="s">
        <v>23</v>
      </c>
      <c r="K72" s="3" t="s">
        <v>34</v>
      </c>
      <c r="L72" s="3" t="s">
        <v>147</v>
      </c>
      <c r="M72" s="3" t="s">
        <v>289</v>
      </c>
      <c r="N72" s="3" t="s">
        <v>427</v>
      </c>
      <c r="O72" s="3" t="s">
        <v>23</v>
      </c>
      <c r="P72" s="3" t="s">
        <v>428</v>
      </c>
      <c r="Q72" s="3" t="s">
        <v>442</v>
      </c>
      <c r="R72" s="2"/>
      <c r="S72" s="2"/>
      <c r="T72" s="2"/>
      <c r="U72" s="2"/>
      <c r="V72" s="2"/>
      <c r="W72" s="2"/>
      <c r="X72" s="2"/>
      <c r="Y72" s="2"/>
    </row>
    <row r="73">
      <c r="A73" s="5" t="str">
        <f>IFERROR(__xludf.DUMMYFUNCTION("LEFT(A72, 4) &amp; TEXT(VALUE(REGEXEXTRACT(A72, ""\d+"")) + 1, ""0000"")"),"HAG-0071")</f>
        <v>HAG-0071</v>
      </c>
      <c r="B73" s="3" t="s">
        <v>300</v>
      </c>
      <c r="C73" s="3" t="s">
        <v>441</v>
      </c>
      <c r="D73" s="2" t="str">
        <f t="shared" si="1"/>
        <v>LANÇA DE LUZ INQUISITORA | D</v>
      </c>
      <c r="E73" s="3" t="s">
        <v>76</v>
      </c>
      <c r="F73" s="3" t="s">
        <v>27</v>
      </c>
      <c r="G73" s="3" t="s">
        <v>146</v>
      </c>
      <c r="H73" s="3" t="s">
        <v>436</v>
      </c>
      <c r="I73" s="3">
        <v>16.0</v>
      </c>
      <c r="J73" s="3" t="s">
        <v>23</v>
      </c>
      <c r="K73" s="3" t="s">
        <v>34</v>
      </c>
      <c r="L73" s="3" t="s">
        <v>151</v>
      </c>
      <c r="M73" s="3" t="s">
        <v>289</v>
      </c>
      <c r="N73" s="3" t="s">
        <v>427</v>
      </c>
      <c r="O73" s="3" t="s">
        <v>23</v>
      </c>
      <c r="P73" s="3" t="s">
        <v>429</v>
      </c>
      <c r="Q73" s="3" t="s">
        <v>442</v>
      </c>
      <c r="R73" s="2"/>
      <c r="S73" s="2"/>
      <c r="T73" s="2"/>
      <c r="U73" s="2"/>
      <c r="V73" s="2"/>
      <c r="W73" s="2"/>
      <c r="X73" s="2"/>
      <c r="Y73" s="2"/>
    </row>
    <row r="74">
      <c r="A74" s="5" t="str">
        <f>IFERROR(__xludf.DUMMYFUNCTION("LEFT(A73, 4) &amp; TEXT(VALUE(REGEXEXTRACT(A73, ""\d+"")) + 1, ""0000"")"),"HAG-0072")</f>
        <v>HAG-0072</v>
      </c>
      <c r="B74" s="3" t="s">
        <v>300</v>
      </c>
      <c r="C74" s="3" t="s">
        <v>441</v>
      </c>
      <c r="D74" s="2" t="str">
        <f t="shared" si="1"/>
        <v>LANÇA DE LUZ INQUISITORA | D</v>
      </c>
      <c r="E74" s="3" t="s">
        <v>76</v>
      </c>
      <c r="F74" s="3" t="s">
        <v>28</v>
      </c>
      <c r="G74" s="3" t="s">
        <v>146</v>
      </c>
      <c r="H74" s="3" t="s">
        <v>436</v>
      </c>
      <c r="I74" s="3">
        <v>16.0</v>
      </c>
      <c r="J74" s="3" t="s">
        <v>23</v>
      </c>
      <c r="K74" s="3" t="s">
        <v>34</v>
      </c>
      <c r="L74" s="3" t="s">
        <v>152</v>
      </c>
      <c r="M74" s="3" t="s">
        <v>65</v>
      </c>
      <c r="N74" s="3" t="s">
        <v>430</v>
      </c>
      <c r="O74" s="3" t="s">
        <v>23</v>
      </c>
      <c r="P74" s="3" t="s">
        <v>431</v>
      </c>
      <c r="Q74" s="3" t="s">
        <v>443</v>
      </c>
      <c r="R74" s="2"/>
      <c r="S74" s="2"/>
      <c r="T74" s="2"/>
      <c r="U74" s="2"/>
      <c r="V74" s="2"/>
      <c r="W74" s="2"/>
      <c r="X74" s="2"/>
      <c r="Y74" s="2"/>
    </row>
    <row r="75">
      <c r="A75" s="5" t="str">
        <f>IFERROR(__xludf.DUMMYFUNCTION("LEFT(A74, 4) &amp; TEXT(VALUE(REGEXEXTRACT(A74, ""\d+"")) + 1, ""0000"")"),"HAG-0073")</f>
        <v>HAG-0073</v>
      </c>
      <c r="B75" s="3" t="s">
        <v>300</v>
      </c>
      <c r="C75" s="3" t="s">
        <v>441</v>
      </c>
      <c r="D75" s="2" t="str">
        <f t="shared" si="1"/>
        <v>LANÇA DE LUZ INQUISITORA | D</v>
      </c>
      <c r="E75" s="3" t="s">
        <v>76</v>
      </c>
      <c r="F75" s="3" t="s">
        <v>29</v>
      </c>
      <c r="G75" s="3" t="s">
        <v>146</v>
      </c>
      <c r="H75" s="3" t="s">
        <v>436</v>
      </c>
      <c r="I75" s="3">
        <v>16.0</v>
      </c>
      <c r="J75" s="3" t="s">
        <v>23</v>
      </c>
      <c r="K75" s="3" t="s">
        <v>34</v>
      </c>
      <c r="L75" s="3" t="s">
        <v>155</v>
      </c>
      <c r="M75" s="3" t="s">
        <v>439</v>
      </c>
      <c r="N75" s="3" t="s">
        <v>430</v>
      </c>
      <c r="O75" s="3" t="s">
        <v>23</v>
      </c>
      <c r="P75" s="3" t="s">
        <v>432</v>
      </c>
      <c r="Q75" s="3" t="s">
        <v>443</v>
      </c>
      <c r="R75" s="2"/>
      <c r="S75" s="2"/>
      <c r="T75" s="2"/>
      <c r="U75" s="2"/>
      <c r="V75" s="2"/>
      <c r="W75" s="2"/>
      <c r="X75" s="2"/>
      <c r="Y75" s="2"/>
    </row>
    <row r="76">
      <c r="A76" s="5" t="str">
        <f>IFERROR(__xludf.DUMMYFUNCTION("LEFT(A75, 4) &amp; TEXT(VALUE(REGEXEXTRACT(A75, ""\d+"")) + 1, ""0000"")"),"HAG-0074")</f>
        <v>HAG-0074</v>
      </c>
      <c r="B76" s="3" t="s">
        <v>300</v>
      </c>
      <c r="C76" s="3" t="s">
        <v>441</v>
      </c>
      <c r="D76" s="2" t="str">
        <f t="shared" si="1"/>
        <v>LANÇA DE LUZ INQUISITORA | D</v>
      </c>
      <c r="E76" s="3" t="s">
        <v>76</v>
      </c>
      <c r="F76" s="3" t="s">
        <v>30</v>
      </c>
      <c r="G76" s="3" t="s">
        <v>146</v>
      </c>
      <c r="H76" s="3" t="s">
        <v>436</v>
      </c>
      <c r="I76" s="3">
        <v>16.0</v>
      </c>
      <c r="J76" s="3" t="s">
        <v>23</v>
      </c>
      <c r="K76" s="3" t="s">
        <v>34</v>
      </c>
      <c r="L76" s="3" t="s">
        <v>156</v>
      </c>
      <c r="M76" s="3" t="s">
        <v>35</v>
      </c>
      <c r="N76" s="3" t="s">
        <v>433</v>
      </c>
      <c r="O76" s="3" t="s">
        <v>23</v>
      </c>
      <c r="P76" s="3" t="s">
        <v>434</v>
      </c>
      <c r="Q76" s="3" t="s">
        <v>444</v>
      </c>
      <c r="R76" s="2"/>
      <c r="S76" s="2"/>
      <c r="T76" s="2"/>
      <c r="U76" s="2"/>
      <c r="V76" s="2"/>
      <c r="W76" s="2"/>
      <c r="X76" s="2"/>
      <c r="Y76" s="2"/>
    </row>
    <row r="77">
      <c r="A77" s="5" t="str">
        <f>IFERROR(__xludf.DUMMYFUNCTION("LEFT(A76, 4) &amp; TEXT(VALUE(REGEXEXTRACT(A76, ""\d+"")) + 1, ""0000"")"),"HAG-0075")</f>
        <v>HAG-0075</v>
      </c>
      <c r="B77" s="3" t="s">
        <v>300</v>
      </c>
      <c r="C77" s="3" t="s">
        <v>445</v>
      </c>
      <c r="D77" s="2" t="str">
        <f t="shared" si="1"/>
        <v>COROA DAS LANÇAS DE LUZ SAGRADAS | MD</v>
      </c>
      <c r="E77" s="3" t="s">
        <v>94</v>
      </c>
      <c r="F77" s="3" t="s">
        <v>21</v>
      </c>
      <c r="G77" s="3" t="s">
        <v>146</v>
      </c>
      <c r="H77" s="3" t="s">
        <v>436</v>
      </c>
      <c r="I77" s="3">
        <v>32.0</v>
      </c>
      <c r="J77" s="3" t="s">
        <v>23</v>
      </c>
      <c r="K77" s="3" t="s">
        <v>34</v>
      </c>
      <c r="L77" s="3" t="s">
        <v>147</v>
      </c>
      <c r="M77" s="3" t="s">
        <v>289</v>
      </c>
      <c r="N77" s="3" t="s">
        <v>427</v>
      </c>
      <c r="O77" s="3" t="s">
        <v>23</v>
      </c>
      <c r="P77" s="3" t="s">
        <v>446</v>
      </c>
      <c r="Q77" s="3" t="s">
        <v>447</v>
      </c>
      <c r="R77" s="2"/>
      <c r="S77" s="2"/>
      <c r="T77" s="2"/>
      <c r="U77" s="2"/>
      <c r="V77" s="2"/>
      <c r="W77" s="2"/>
      <c r="X77" s="2"/>
      <c r="Y77" s="2"/>
    </row>
    <row r="78">
      <c r="A78" s="5" t="str">
        <f>IFERROR(__xludf.DUMMYFUNCTION("LEFT(A77, 4) &amp; TEXT(VALUE(REGEXEXTRACT(A77, ""\d+"")) + 1, ""0000"")"),"HAG-0076")</f>
        <v>HAG-0076</v>
      </c>
      <c r="B78" s="3" t="s">
        <v>300</v>
      </c>
      <c r="C78" s="3" t="s">
        <v>445</v>
      </c>
      <c r="D78" s="2" t="str">
        <f t="shared" si="1"/>
        <v>COROA DAS LANÇAS DE LUZ SAGRADAS | MD</v>
      </c>
      <c r="E78" s="3" t="s">
        <v>94</v>
      </c>
      <c r="F78" s="3" t="s">
        <v>27</v>
      </c>
      <c r="G78" s="3" t="s">
        <v>146</v>
      </c>
      <c r="H78" s="3" t="s">
        <v>436</v>
      </c>
      <c r="I78" s="3">
        <v>32.0</v>
      </c>
      <c r="J78" s="3" t="s">
        <v>23</v>
      </c>
      <c r="K78" s="3" t="s">
        <v>34</v>
      </c>
      <c r="L78" s="3" t="s">
        <v>151</v>
      </c>
      <c r="M78" s="3" t="s">
        <v>289</v>
      </c>
      <c r="N78" s="3" t="s">
        <v>427</v>
      </c>
      <c r="O78" s="3" t="s">
        <v>23</v>
      </c>
      <c r="P78" s="3" t="s">
        <v>448</v>
      </c>
      <c r="Q78" s="3" t="s">
        <v>447</v>
      </c>
      <c r="R78" s="2"/>
      <c r="S78" s="2"/>
      <c r="T78" s="2"/>
      <c r="U78" s="2"/>
      <c r="V78" s="2"/>
      <c r="W78" s="2"/>
      <c r="X78" s="2"/>
      <c r="Y78" s="2"/>
    </row>
    <row r="79">
      <c r="A79" s="5" t="str">
        <f>IFERROR(__xludf.DUMMYFUNCTION("LEFT(A78, 4) &amp; TEXT(VALUE(REGEXEXTRACT(A78, ""\d+"")) + 1, ""0000"")"),"HAG-0077")</f>
        <v>HAG-0077</v>
      </c>
      <c r="B79" s="3" t="s">
        <v>300</v>
      </c>
      <c r="C79" s="3" t="s">
        <v>445</v>
      </c>
      <c r="D79" s="2" t="str">
        <f t="shared" si="1"/>
        <v>COROA DAS LANÇAS DE LUZ SAGRADAS | MD</v>
      </c>
      <c r="E79" s="3" t="s">
        <v>94</v>
      </c>
      <c r="F79" s="3" t="s">
        <v>28</v>
      </c>
      <c r="G79" s="3" t="s">
        <v>146</v>
      </c>
      <c r="H79" s="3" t="s">
        <v>436</v>
      </c>
      <c r="I79" s="3">
        <v>32.0</v>
      </c>
      <c r="J79" s="3" t="s">
        <v>23</v>
      </c>
      <c r="K79" s="3" t="s">
        <v>34</v>
      </c>
      <c r="L79" s="3" t="s">
        <v>152</v>
      </c>
      <c r="M79" s="3" t="s">
        <v>65</v>
      </c>
      <c r="N79" s="3" t="s">
        <v>430</v>
      </c>
      <c r="O79" s="3" t="s">
        <v>23</v>
      </c>
      <c r="P79" s="3" t="s">
        <v>449</v>
      </c>
      <c r="Q79" s="3" t="s">
        <v>450</v>
      </c>
      <c r="R79" s="2"/>
      <c r="S79" s="2"/>
      <c r="T79" s="2"/>
      <c r="U79" s="2"/>
      <c r="V79" s="2"/>
      <c r="W79" s="2"/>
      <c r="X79" s="2"/>
      <c r="Y79" s="2"/>
    </row>
    <row r="80">
      <c r="A80" s="5" t="str">
        <f>IFERROR(__xludf.DUMMYFUNCTION("LEFT(A79, 4) &amp; TEXT(VALUE(REGEXEXTRACT(A79, ""\d+"")) + 1, ""0000"")"),"HAG-0078")</f>
        <v>HAG-0078</v>
      </c>
      <c r="B80" s="3" t="s">
        <v>300</v>
      </c>
      <c r="C80" s="3" t="s">
        <v>445</v>
      </c>
      <c r="D80" s="2" t="str">
        <f t="shared" si="1"/>
        <v>COROA DAS LANÇAS DE LUZ SAGRADAS | MD</v>
      </c>
      <c r="E80" s="3" t="s">
        <v>94</v>
      </c>
      <c r="F80" s="3" t="s">
        <v>29</v>
      </c>
      <c r="G80" s="3" t="s">
        <v>146</v>
      </c>
      <c r="H80" s="3" t="s">
        <v>436</v>
      </c>
      <c r="I80" s="3">
        <v>32.0</v>
      </c>
      <c r="J80" s="3" t="s">
        <v>23</v>
      </c>
      <c r="K80" s="3" t="s">
        <v>34</v>
      </c>
      <c r="L80" s="3" t="s">
        <v>155</v>
      </c>
      <c r="M80" s="3" t="s">
        <v>439</v>
      </c>
      <c r="N80" s="3" t="s">
        <v>430</v>
      </c>
      <c r="O80" s="3" t="s">
        <v>23</v>
      </c>
      <c r="P80" s="3" t="s">
        <v>451</v>
      </c>
      <c r="Q80" s="3" t="s">
        <v>450</v>
      </c>
      <c r="R80" s="2"/>
      <c r="S80" s="2"/>
      <c r="T80" s="2"/>
      <c r="U80" s="2"/>
      <c r="V80" s="2"/>
      <c r="W80" s="2"/>
      <c r="X80" s="2"/>
      <c r="Y80" s="2"/>
    </row>
    <row r="81">
      <c r="A81" s="5" t="str">
        <f>IFERROR(__xludf.DUMMYFUNCTION("LEFT(A80, 4) &amp; TEXT(VALUE(REGEXEXTRACT(A80, ""\d+"")) + 1, ""0000"")"),"HAG-0079")</f>
        <v>HAG-0079</v>
      </c>
      <c r="B81" s="3" t="s">
        <v>300</v>
      </c>
      <c r="C81" s="3" t="s">
        <v>445</v>
      </c>
      <c r="D81" s="2" t="str">
        <f t="shared" si="1"/>
        <v>COROA DAS LANÇAS DE LUZ SAGRADAS | MD</v>
      </c>
      <c r="E81" s="3" t="s">
        <v>94</v>
      </c>
      <c r="F81" s="3" t="s">
        <v>30</v>
      </c>
      <c r="G81" s="3" t="s">
        <v>146</v>
      </c>
      <c r="H81" s="3" t="s">
        <v>436</v>
      </c>
      <c r="I81" s="3">
        <v>32.0</v>
      </c>
      <c r="J81" s="3" t="s">
        <v>23</v>
      </c>
      <c r="K81" s="3" t="s">
        <v>34</v>
      </c>
      <c r="L81" s="3" t="s">
        <v>156</v>
      </c>
      <c r="M81" s="3" t="s">
        <v>35</v>
      </c>
      <c r="N81" s="3" t="s">
        <v>433</v>
      </c>
      <c r="O81" s="3" t="s">
        <v>23</v>
      </c>
      <c r="P81" s="3" t="s">
        <v>452</v>
      </c>
      <c r="Q81" s="3" t="s">
        <v>453</v>
      </c>
      <c r="R81" s="2"/>
      <c r="S81" s="2"/>
      <c r="T81" s="2"/>
      <c r="U81" s="2"/>
      <c r="V81" s="2"/>
      <c r="W81" s="2"/>
      <c r="X81" s="2"/>
      <c r="Y81" s="2"/>
    </row>
    <row r="82">
      <c r="A82" s="5" t="str">
        <f>IFERROR(__xludf.DUMMYFUNCTION("LEFT(A81, 4) &amp; TEXT(VALUE(REGEXEXTRACT(A81, ""\d+"")) + 1, ""0000"")"),"HAG-0080")</f>
        <v>HAG-0080</v>
      </c>
      <c r="B82" s="3" t="s">
        <v>300</v>
      </c>
      <c r="C82" s="3" t="s">
        <v>454</v>
      </c>
      <c r="D82" s="2" t="str">
        <f t="shared" si="1"/>
        <v>CASTIGO ABRASADOR | M</v>
      </c>
      <c r="E82" s="3" t="s">
        <v>48</v>
      </c>
      <c r="F82" s="3" t="s">
        <v>21</v>
      </c>
      <c r="G82" s="3" t="s">
        <v>302</v>
      </c>
      <c r="H82" s="3" t="s">
        <v>381</v>
      </c>
      <c r="I82" s="3">
        <v>4.0</v>
      </c>
      <c r="J82" s="3" t="s">
        <v>50</v>
      </c>
      <c r="K82" s="3" t="s">
        <v>303</v>
      </c>
      <c r="L82" s="3" t="s">
        <v>24</v>
      </c>
      <c r="M82" s="3" t="s">
        <v>24</v>
      </c>
      <c r="N82" s="3" t="s">
        <v>455</v>
      </c>
      <c r="O82" s="3" t="s">
        <v>126</v>
      </c>
      <c r="P82" s="3" t="s">
        <v>456</v>
      </c>
      <c r="Q82" s="3" t="s">
        <v>457</v>
      </c>
      <c r="R82" s="2"/>
      <c r="S82" s="2"/>
      <c r="T82" s="2"/>
      <c r="U82" s="2"/>
      <c r="V82" s="2"/>
      <c r="W82" s="2"/>
      <c r="X82" s="2"/>
      <c r="Y82" s="2"/>
    </row>
    <row r="83">
      <c r="A83" s="5" t="str">
        <f>IFERROR(__xludf.DUMMYFUNCTION("LEFT(A82, 4) &amp; TEXT(VALUE(REGEXEXTRACT(A82, ""\d+"")) + 1, ""0000"")"),"HAG-0081")</f>
        <v>HAG-0081</v>
      </c>
      <c r="B83" s="3" t="s">
        <v>300</v>
      </c>
      <c r="C83" s="3" t="s">
        <v>454</v>
      </c>
      <c r="D83" s="2" t="str">
        <f t="shared" si="1"/>
        <v>CASTIGO ABRASADOR | M</v>
      </c>
      <c r="E83" s="3" t="s">
        <v>48</v>
      </c>
      <c r="F83" s="3" t="s">
        <v>27</v>
      </c>
      <c r="G83" s="3" t="s">
        <v>302</v>
      </c>
      <c r="H83" s="3" t="s">
        <v>381</v>
      </c>
      <c r="I83" s="3">
        <v>4.0</v>
      </c>
      <c r="J83" s="3" t="s">
        <v>50</v>
      </c>
      <c r="K83" s="3" t="s">
        <v>303</v>
      </c>
      <c r="L83" s="3" t="s">
        <v>24</v>
      </c>
      <c r="M83" s="3" t="s">
        <v>24</v>
      </c>
      <c r="N83" s="3" t="s">
        <v>458</v>
      </c>
      <c r="O83" s="3" t="s">
        <v>126</v>
      </c>
      <c r="P83" s="3" t="s">
        <v>459</v>
      </c>
      <c r="Q83" s="3" t="s">
        <v>460</v>
      </c>
      <c r="R83" s="2"/>
      <c r="S83" s="2"/>
      <c r="T83" s="2"/>
      <c r="U83" s="2"/>
      <c r="V83" s="2"/>
      <c r="W83" s="2"/>
      <c r="X83" s="2"/>
      <c r="Y83" s="2"/>
    </row>
    <row r="84">
      <c r="A84" s="5" t="str">
        <f>IFERROR(__xludf.DUMMYFUNCTION("LEFT(A83, 4) &amp; TEXT(VALUE(REGEXEXTRACT(A83, ""\d+"")) + 1, ""0000"")"),"HAG-0082")</f>
        <v>HAG-0082</v>
      </c>
      <c r="B84" s="3" t="s">
        <v>300</v>
      </c>
      <c r="C84" s="3" t="s">
        <v>454</v>
      </c>
      <c r="D84" s="2" t="str">
        <f t="shared" si="1"/>
        <v>CASTIGO ABRASADOR | M</v>
      </c>
      <c r="E84" s="3" t="s">
        <v>48</v>
      </c>
      <c r="F84" s="3" t="s">
        <v>28</v>
      </c>
      <c r="G84" s="3" t="s">
        <v>302</v>
      </c>
      <c r="H84" s="3" t="s">
        <v>381</v>
      </c>
      <c r="I84" s="3">
        <v>4.0</v>
      </c>
      <c r="J84" s="3" t="s">
        <v>50</v>
      </c>
      <c r="K84" s="3" t="s">
        <v>303</v>
      </c>
      <c r="L84" s="3" t="s">
        <v>24</v>
      </c>
      <c r="M84" s="3" t="s">
        <v>24</v>
      </c>
      <c r="N84" s="3" t="s">
        <v>461</v>
      </c>
      <c r="O84" s="3" t="s">
        <v>131</v>
      </c>
      <c r="P84" s="3" t="s">
        <v>462</v>
      </c>
      <c r="Q84" s="3" t="s">
        <v>463</v>
      </c>
      <c r="R84" s="2"/>
      <c r="S84" s="2"/>
      <c r="T84" s="2"/>
      <c r="U84" s="2"/>
      <c r="V84" s="2"/>
      <c r="W84" s="2"/>
      <c r="X84" s="2"/>
      <c r="Y84" s="2"/>
    </row>
    <row r="85">
      <c r="A85" s="5" t="str">
        <f>IFERROR(__xludf.DUMMYFUNCTION("LEFT(A84, 4) &amp; TEXT(VALUE(REGEXEXTRACT(A84, ""\d+"")) + 1, ""0000"")"),"HAG-0083")</f>
        <v>HAG-0083</v>
      </c>
      <c r="B85" s="3" t="s">
        <v>300</v>
      </c>
      <c r="C85" s="3" t="s">
        <v>454</v>
      </c>
      <c r="D85" s="2" t="str">
        <f t="shared" si="1"/>
        <v>CASTIGO ABRASADOR | M</v>
      </c>
      <c r="E85" s="3" t="s">
        <v>48</v>
      </c>
      <c r="F85" s="3" t="s">
        <v>29</v>
      </c>
      <c r="G85" s="3" t="s">
        <v>302</v>
      </c>
      <c r="H85" s="3" t="s">
        <v>381</v>
      </c>
      <c r="I85" s="3">
        <v>4.0</v>
      </c>
      <c r="J85" s="3" t="s">
        <v>50</v>
      </c>
      <c r="K85" s="3" t="s">
        <v>303</v>
      </c>
      <c r="L85" s="3" t="s">
        <v>24</v>
      </c>
      <c r="M85" s="3" t="s">
        <v>24</v>
      </c>
      <c r="N85" s="3" t="s">
        <v>464</v>
      </c>
      <c r="O85" s="3" t="s">
        <v>131</v>
      </c>
      <c r="P85" s="3" t="s">
        <v>465</v>
      </c>
      <c r="Q85" s="3" t="s">
        <v>466</v>
      </c>
      <c r="R85" s="2"/>
      <c r="S85" s="2"/>
      <c r="T85" s="2"/>
      <c r="U85" s="2"/>
      <c r="V85" s="2"/>
      <c r="W85" s="2"/>
      <c r="X85" s="2"/>
      <c r="Y85" s="2"/>
    </row>
    <row r="86">
      <c r="A86" s="5" t="str">
        <f>IFERROR(__xludf.DUMMYFUNCTION("LEFT(A85, 4) &amp; TEXT(VALUE(REGEXEXTRACT(A85, ""\d+"")) + 1, ""0000"")"),"HAG-0084")</f>
        <v>HAG-0084</v>
      </c>
      <c r="B86" s="3" t="s">
        <v>300</v>
      </c>
      <c r="C86" s="3" t="s">
        <v>454</v>
      </c>
      <c r="D86" s="2" t="str">
        <f t="shared" si="1"/>
        <v>CASTIGO ABRASADOR | M</v>
      </c>
      <c r="E86" s="3" t="s">
        <v>48</v>
      </c>
      <c r="F86" s="3" t="s">
        <v>30</v>
      </c>
      <c r="G86" s="3" t="s">
        <v>302</v>
      </c>
      <c r="H86" s="3" t="s">
        <v>381</v>
      </c>
      <c r="I86" s="3">
        <v>4.0</v>
      </c>
      <c r="J86" s="3" t="s">
        <v>23</v>
      </c>
      <c r="K86" s="3" t="s">
        <v>303</v>
      </c>
      <c r="L86" s="3" t="s">
        <v>24</v>
      </c>
      <c r="M86" s="3" t="s">
        <v>24</v>
      </c>
      <c r="N86" s="3" t="s">
        <v>467</v>
      </c>
      <c r="O86" s="3" t="s">
        <v>136</v>
      </c>
      <c r="P86" s="3" t="s">
        <v>468</v>
      </c>
      <c r="Q86" s="3" t="s">
        <v>469</v>
      </c>
      <c r="R86" s="2"/>
      <c r="S86" s="2"/>
      <c r="T86" s="2"/>
      <c r="U86" s="2"/>
      <c r="V86" s="2"/>
      <c r="W86" s="2"/>
      <c r="X86" s="2"/>
      <c r="Y86" s="2"/>
    </row>
    <row r="87">
      <c r="A87" s="5" t="str">
        <f>IFERROR(__xludf.DUMMYFUNCTION("LEFT(A86, 4) &amp; TEXT(VALUE(REGEXEXTRACT(A86, ""\d+"")) + 1, ""0000"")"),"HAG-0085")</f>
        <v>HAG-0085</v>
      </c>
      <c r="B87" s="3" t="s">
        <v>300</v>
      </c>
      <c r="C87" s="3" t="s">
        <v>470</v>
      </c>
      <c r="D87" s="2" t="str">
        <f t="shared" si="1"/>
        <v>ESPADAS DA LUZ REVELADORA | MD</v>
      </c>
      <c r="E87" s="3" t="s">
        <v>94</v>
      </c>
      <c r="F87" s="3" t="s">
        <v>21</v>
      </c>
      <c r="G87" s="3" t="s">
        <v>214</v>
      </c>
      <c r="H87" s="3" t="s">
        <v>381</v>
      </c>
      <c r="I87" s="3">
        <v>16.0</v>
      </c>
      <c r="J87" s="3" t="s">
        <v>131</v>
      </c>
      <c r="K87" s="3" t="s">
        <v>34</v>
      </c>
      <c r="L87" s="3" t="s">
        <v>35</v>
      </c>
      <c r="M87" s="3" t="s">
        <v>65</v>
      </c>
      <c r="N87" s="3" t="s">
        <v>471</v>
      </c>
      <c r="O87" s="3" t="s">
        <v>472</v>
      </c>
      <c r="P87" s="3" t="s">
        <v>473</v>
      </c>
      <c r="Q87" s="3" t="s">
        <v>474</v>
      </c>
      <c r="R87" s="2"/>
      <c r="S87" s="2"/>
      <c r="T87" s="2"/>
      <c r="U87" s="2"/>
      <c r="V87" s="2"/>
      <c r="W87" s="2"/>
      <c r="X87" s="2"/>
      <c r="Y87" s="2"/>
    </row>
    <row r="88">
      <c r="A88" s="5" t="str">
        <f>IFERROR(__xludf.DUMMYFUNCTION("LEFT(A87, 4) &amp; TEXT(VALUE(REGEXEXTRACT(A87, ""\d+"")) + 1, ""0000"")"),"HAG-0086")</f>
        <v>HAG-0086</v>
      </c>
      <c r="B88" s="3" t="s">
        <v>300</v>
      </c>
      <c r="C88" s="3" t="s">
        <v>470</v>
      </c>
      <c r="D88" s="2" t="str">
        <f t="shared" si="1"/>
        <v>ESPADAS DA LUZ REVELADORA | MD</v>
      </c>
      <c r="E88" s="3" t="s">
        <v>94</v>
      </c>
      <c r="F88" s="3" t="s">
        <v>27</v>
      </c>
      <c r="G88" s="3" t="s">
        <v>214</v>
      </c>
      <c r="H88" s="3" t="s">
        <v>381</v>
      </c>
      <c r="I88" s="3">
        <v>16.0</v>
      </c>
      <c r="J88" s="3" t="s">
        <v>131</v>
      </c>
      <c r="K88" s="3" t="s">
        <v>34</v>
      </c>
      <c r="L88" s="3" t="s">
        <v>70</v>
      </c>
      <c r="M88" s="3" t="s">
        <v>35</v>
      </c>
      <c r="N88" s="3" t="s">
        <v>475</v>
      </c>
      <c r="O88" s="3" t="s">
        <v>476</v>
      </c>
      <c r="P88" s="3" t="s">
        <v>477</v>
      </c>
      <c r="Q88" s="3" t="s">
        <v>474</v>
      </c>
      <c r="R88" s="2"/>
      <c r="S88" s="2"/>
      <c r="T88" s="2"/>
      <c r="U88" s="2"/>
      <c r="V88" s="2"/>
      <c r="W88" s="2"/>
      <c r="X88" s="2"/>
      <c r="Y88" s="2"/>
    </row>
    <row r="89">
      <c r="A89" s="5" t="str">
        <f>IFERROR(__xludf.DUMMYFUNCTION("LEFT(A88, 4) &amp; TEXT(VALUE(REGEXEXTRACT(A88, ""\d+"")) + 1, ""0000"")"),"HAG-0087")</f>
        <v>HAG-0087</v>
      </c>
      <c r="B89" s="3" t="s">
        <v>300</v>
      </c>
      <c r="C89" s="3" t="s">
        <v>470</v>
      </c>
      <c r="D89" s="2" t="str">
        <f t="shared" si="1"/>
        <v>ESPADAS DA LUZ REVELADORA | MD</v>
      </c>
      <c r="E89" s="3" t="s">
        <v>94</v>
      </c>
      <c r="F89" s="3" t="s">
        <v>28</v>
      </c>
      <c r="G89" s="3" t="s">
        <v>214</v>
      </c>
      <c r="H89" s="3" t="s">
        <v>381</v>
      </c>
      <c r="I89" s="3">
        <v>16.0</v>
      </c>
      <c r="J89" s="3" t="s">
        <v>126</v>
      </c>
      <c r="K89" s="3" t="s">
        <v>34</v>
      </c>
      <c r="L89" s="3" t="s">
        <v>72</v>
      </c>
      <c r="M89" s="3" t="s">
        <v>253</v>
      </c>
      <c r="N89" s="3" t="s">
        <v>478</v>
      </c>
      <c r="O89" s="3" t="s">
        <v>479</v>
      </c>
      <c r="P89" s="3" t="s">
        <v>480</v>
      </c>
      <c r="Q89" s="3" t="s">
        <v>474</v>
      </c>
      <c r="R89" s="2"/>
      <c r="S89" s="2"/>
      <c r="T89" s="2"/>
      <c r="U89" s="2"/>
      <c r="V89" s="2"/>
      <c r="W89" s="2"/>
      <c r="X89" s="2"/>
      <c r="Y89" s="2"/>
    </row>
    <row r="90">
      <c r="A90" s="5" t="str">
        <f>IFERROR(__xludf.DUMMYFUNCTION("LEFT(A89, 4) &amp; TEXT(VALUE(REGEXEXTRACT(A89, ""\d+"")) + 1, ""0000"")"),"HAG-0088")</f>
        <v>HAG-0088</v>
      </c>
      <c r="B90" s="3" t="s">
        <v>300</v>
      </c>
      <c r="C90" s="3" t="s">
        <v>470</v>
      </c>
      <c r="D90" s="2" t="str">
        <f t="shared" si="1"/>
        <v>ESPADAS DA LUZ REVELADORA | MD</v>
      </c>
      <c r="E90" s="3" t="s">
        <v>94</v>
      </c>
      <c r="F90" s="3" t="s">
        <v>29</v>
      </c>
      <c r="G90" s="3" t="s">
        <v>214</v>
      </c>
      <c r="H90" s="3" t="s">
        <v>381</v>
      </c>
      <c r="I90" s="3">
        <v>16.0</v>
      </c>
      <c r="J90" s="3" t="s">
        <v>126</v>
      </c>
      <c r="K90" s="3" t="s">
        <v>34</v>
      </c>
      <c r="L90" s="3" t="s">
        <v>39</v>
      </c>
      <c r="M90" s="3" t="s">
        <v>297</v>
      </c>
      <c r="N90" s="3" t="s">
        <v>481</v>
      </c>
      <c r="O90" s="3" t="s">
        <v>482</v>
      </c>
      <c r="P90" s="3" t="s">
        <v>483</v>
      </c>
      <c r="Q90" s="3" t="s">
        <v>474</v>
      </c>
      <c r="R90" s="2"/>
      <c r="S90" s="2"/>
      <c r="T90" s="2"/>
      <c r="U90" s="2"/>
      <c r="V90" s="2"/>
      <c r="W90" s="2"/>
      <c r="X90" s="2"/>
      <c r="Y90" s="2"/>
    </row>
    <row r="91">
      <c r="A91" s="5" t="str">
        <f>IFERROR(__xludf.DUMMYFUNCTION("LEFT(A90, 4) &amp; TEXT(VALUE(REGEXEXTRACT(A90, ""\d+"")) + 1, ""0000"")"),"HAG-0089")</f>
        <v>HAG-0089</v>
      </c>
      <c r="B91" s="3" t="s">
        <v>300</v>
      </c>
      <c r="C91" s="3" t="s">
        <v>470</v>
      </c>
      <c r="D91" s="2" t="str">
        <f t="shared" si="1"/>
        <v>ESPADAS DA LUZ REVELADORA | MD</v>
      </c>
      <c r="E91" s="3" t="s">
        <v>94</v>
      </c>
      <c r="F91" s="3" t="s">
        <v>30</v>
      </c>
      <c r="G91" s="3" t="s">
        <v>214</v>
      </c>
      <c r="H91" s="3" t="s">
        <v>381</v>
      </c>
      <c r="I91" s="3">
        <v>16.0</v>
      </c>
      <c r="J91" s="3" t="s">
        <v>50</v>
      </c>
      <c r="K91" s="3" t="s">
        <v>34</v>
      </c>
      <c r="L91" s="3" t="s">
        <v>41</v>
      </c>
      <c r="M91" s="3" t="s">
        <v>72</v>
      </c>
      <c r="N91" s="3" t="s">
        <v>484</v>
      </c>
      <c r="O91" s="3" t="s">
        <v>485</v>
      </c>
      <c r="P91" s="3" t="s">
        <v>486</v>
      </c>
      <c r="Q91" s="3" t="s">
        <v>474</v>
      </c>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13"/>
    <col customWidth="1" min="2" max="2" width="8.13"/>
    <col customWidth="1" min="3" max="3" width="9.0"/>
    <col customWidth="1" min="4" max="4" width="17.0"/>
    <col customWidth="1" min="5" max="5" width="9.25"/>
    <col customWidth="1" min="6" max="6" width="7.25"/>
    <col customWidth="1" min="7" max="7" width="7.63"/>
    <col customWidth="1" min="8" max="8" width="11.75"/>
    <col customWidth="1" min="9" max="9" width="6.75"/>
    <col customWidth="1" min="10" max="10" width="9.75"/>
    <col customWidth="1" min="11" max="11" width="10.63"/>
    <col customWidth="1" min="12" max="12" width="7.5"/>
    <col customWidth="1" min="13" max="13" width="10.5"/>
    <col customWidth="1" min="14" max="14" width="14.88"/>
    <col customWidth="1" min="15" max="15" width="9.0"/>
    <col customWidth="1" min="16" max="16" width="40.38"/>
    <col customWidth="1" min="17" max="17" width="3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9" t="s">
        <v>487</v>
      </c>
      <c r="B2" s="3" t="s">
        <v>488</v>
      </c>
      <c r="C2" s="3" t="s">
        <v>489</v>
      </c>
      <c r="D2" s="2" t="str">
        <f t="shared" ref="D2:D56" si="1">UPPER(CONCATENATE(C2, " | ",E2))</f>
        <v>MOLDAR SANGUE | F</v>
      </c>
      <c r="E2" s="3" t="s">
        <v>20</v>
      </c>
      <c r="F2" s="3" t="s">
        <v>21</v>
      </c>
      <c r="G2" s="3" t="s">
        <v>77</v>
      </c>
      <c r="H2" s="3" t="s">
        <v>33</v>
      </c>
      <c r="I2" s="3">
        <v>1.0</v>
      </c>
      <c r="J2" s="3" t="s">
        <v>23</v>
      </c>
      <c r="K2" s="3" t="s">
        <v>24</v>
      </c>
      <c r="L2" s="3" t="s">
        <v>24</v>
      </c>
      <c r="M2" s="3" t="s">
        <v>24</v>
      </c>
      <c r="N2" s="10"/>
      <c r="O2" s="3" t="s">
        <v>23</v>
      </c>
      <c r="P2" s="3" t="s">
        <v>490</v>
      </c>
      <c r="Q2" s="3" t="s">
        <v>491</v>
      </c>
      <c r="R2" s="2"/>
      <c r="S2" s="2"/>
      <c r="T2" s="2"/>
      <c r="U2" s="2"/>
      <c r="V2" s="2"/>
      <c r="W2" s="2"/>
      <c r="X2" s="2"/>
      <c r="Y2" s="2"/>
    </row>
    <row r="3">
      <c r="A3" s="5" t="str">
        <f>IFERROR(__xludf.DUMMYFUNCTION("LEFT(A2, 4) &amp; TEXT(VALUE(REGEXEXTRACT(A2, ""\d+"")) + 1, ""0000"")"),"HEM-0001")</f>
        <v>HEM-0001</v>
      </c>
      <c r="B3" s="3" t="s">
        <v>488</v>
      </c>
      <c r="C3" s="3" t="s">
        <v>489</v>
      </c>
      <c r="D3" s="2" t="str">
        <f t="shared" si="1"/>
        <v>MOLDAR SANGUE | F</v>
      </c>
      <c r="E3" s="3" t="s">
        <v>20</v>
      </c>
      <c r="F3" s="3" t="s">
        <v>27</v>
      </c>
      <c r="G3" s="3" t="s">
        <v>77</v>
      </c>
      <c r="H3" s="3" t="s">
        <v>33</v>
      </c>
      <c r="I3" s="3">
        <v>1.0</v>
      </c>
      <c r="J3" s="3" t="s">
        <v>23</v>
      </c>
      <c r="K3" s="3" t="s">
        <v>24</v>
      </c>
      <c r="L3" s="3" t="s">
        <v>24</v>
      </c>
      <c r="M3" s="3" t="s">
        <v>24</v>
      </c>
      <c r="N3" s="10"/>
      <c r="O3" s="3" t="s">
        <v>23</v>
      </c>
      <c r="P3" s="3" t="s">
        <v>490</v>
      </c>
      <c r="Q3" s="3" t="s">
        <v>491</v>
      </c>
      <c r="R3" s="2"/>
      <c r="S3" s="2"/>
      <c r="T3" s="2"/>
      <c r="U3" s="2"/>
      <c r="V3" s="2"/>
      <c r="W3" s="2"/>
      <c r="X3" s="2"/>
      <c r="Y3" s="2"/>
    </row>
    <row r="4">
      <c r="A4" s="5" t="str">
        <f>IFERROR(__xludf.DUMMYFUNCTION("LEFT(A3, 4) &amp; TEXT(VALUE(REGEXEXTRACT(A3, ""\d+"")) + 1, ""0000"")"),"HEM-0002")</f>
        <v>HEM-0002</v>
      </c>
      <c r="B4" s="3" t="s">
        <v>488</v>
      </c>
      <c r="C4" s="3" t="s">
        <v>489</v>
      </c>
      <c r="D4" s="2" t="str">
        <f t="shared" si="1"/>
        <v>MOLDAR SANGUE | F</v>
      </c>
      <c r="E4" s="3" t="s">
        <v>20</v>
      </c>
      <c r="F4" s="3" t="s">
        <v>28</v>
      </c>
      <c r="G4" s="3" t="s">
        <v>77</v>
      </c>
      <c r="H4" s="3" t="s">
        <v>33</v>
      </c>
      <c r="I4" s="3">
        <v>1.0</v>
      </c>
      <c r="J4" s="3" t="s">
        <v>23</v>
      </c>
      <c r="K4" s="3" t="s">
        <v>24</v>
      </c>
      <c r="L4" s="3" t="s">
        <v>24</v>
      </c>
      <c r="M4" s="3" t="s">
        <v>24</v>
      </c>
      <c r="N4" s="10"/>
      <c r="O4" s="3" t="s">
        <v>23</v>
      </c>
      <c r="P4" s="3" t="s">
        <v>490</v>
      </c>
      <c r="Q4" s="3" t="s">
        <v>491</v>
      </c>
      <c r="R4" s="2"/>
      <c r="S4" s="2"/>
      <c r="T4" s="2"/>
      <c r="U4" s="2"/>
      <c r="V4" s="2"/>
      <c r="W4" s="2"/>
      <c r="X4" s="2"/>
      <c r="Y4" s="2"/>
    </row>
    <row r="5">
      <c r="A5" s="5" t="str">
        <f>IFERROR(__xludf.DUMMYFUNCTION("LEFT(A4, 4) &amp; TEXT(VALUE(REGEXEXTRACT(A4, ""\d+"")) + 1, ""0000"")"),"HEM-0003")</f>
        <v>HEM-0003</v>
      </c>
      <c r="B5" s="3" t="s">
        <v>488</v>
      </c>
      <c r="C5" s="3" t="s">
        <v>489</v>
      </c>
      <c r="D5" s="2" t="str">
        <f t="shared" si="1"/>
        <v>MOLDAR SANGUE | F</v>
      </c>
      <c r="E5" s="3" t="s">
        <v>20</v>
      </c>
      <c r="F5" s="3" t="s">
        <v>29</v>
      </c>
      <c r="G5" s="3" t="s">
        <v>77</v>
      </c>
      <c r="H5" s="3" t="s">
        <v>33</v>
      </c>
      <c r="I5" s="3">
        <v>1.0</v>
      </c>
      <c r="J5" s="3" t="s">
        <v>23</v>
      </c>
      <c r="K5" s="3" t="s">
        <v>24</v>
      </c>
      <c r="L5" s="3" t="s">
        <v>24</v>
      </c>
      <c r="M5" s="3" t="s">
        <v>24</v>
      </c>
      <c r="N5" s="10"/>
      <c r="O5" s="3" t="s">
        <v>23</v>
      </c>
      <c r="P5" s="3" t="s">
        <v>490</v>
      </c>
      <c r="Q5" s="3" t="s">
        <v>491</v>
      </c>
      <c r="R5" s="2"/>
      <c r="S5" s="2"/>
      <c r="T5" s="2"/>
      <c r="U5" s="2"/>
      <c r="V5" s="2"/>
      <c r="W5" s="2"/>
      <c r="X5" s="2"/>
      <c r="Y5" s="2"/>
    </row>
    <row r="6">
      <c r="A6" s="5" t="str">
        <f>IFERROR(__xludf.DUMMYFUNCTION("LEFT(A5, 4) &amp; TEXT(VALUE(REGEXEXTRACT(A5, ""\d+"")) + 1, ""0000"")"),"HEM-0004")</f>
        <v>HEM-0004</v>
      </c>
      <c r="B6" s="3" t="s">
        <v>488</v>
      </c>
      <c r="C6" s="3" t="s">
        <v>489</v>
      </c>
      <c r="D6" s="2" t="str">
        <f t="shared" si="1"/>
        <v>MOLDAR SANGUE | F</v>
      </c>
      <c r="E6" s="3" t="s">
        <v>20</v>
      </c>
      <c r="F6" s="3" t="s">
        <v>30</v>
      </c>
      <c r="G6" s="3" t="s">
        <v>77</v>
      </c>
      <c r="H6" s="3" t="s">
        <v>33</v>
      </c>
      <c r="I6" s="3">
        <v>1.0</v>
      </c>
      <c r="J6" s="3" t="s">
        <v>23</v>
      </c>
      <c r="K6" s="3" t="s">
        <v>24</v>
      </c>
      <c r="L6" s="3" t="s">
        <v>24</v>
      </c>
      <c r="M6" s="3" t="s">
        <v>24</v>
      </c>
      <c r="N6" s="10"/>
      <c r="O6" s="3" t="s">
        <v>23</v>
      </c>
      <c r="P6" s="3" t="s">
        <v>490</v>
      </c>
      <c r="Q6" s="3" t="s">
        <v>491</v>
      </c>
      <c r="R6" s="2"/>
      <c r="S6" s="2"/>
      <c r="T6" s="2"/>
      <c r="U6" s="2"/>
      <c r="V6" s="2"/>
      <c r="W6" s="2"/>
      <c r="X6" s="2"/>
      <c r="Y6" s="2"/>
    </row>
    <row r="7">
      <c r="A7" s="5" t="str">
        <f>IFERROR(__xludf.DUMMYFUNCTION("LEFT(A6, 4) &amp; TEXT(VALUE(REGEXEXTRACT(A6, ""\d+"")) + 1, ""0000"")"),"HEM-0005")</f>
        <v>HEM-0005</v>
      </c>
      <c r="B7" s="3" t="s">
        <v>488</v>
      </c>
      <c r="C7" s="3" t="s">
        <v>492</v>
      </c>
      <c r="D7" s="2" t="str">
        <f t="shared" si="1"/>
        <v>SENTIR SANGUE | F</v>
      </c>
      <c r="E7" s="3" t="s">
        <v>20</v>
      </c>
      <c r="F7" s="3" t="s">
        <v>21</v>
      </c>
      <c r="G7" s="3" t="s">
        <v>32</v>
      </c>
      <c r="H7" s="3" t="s">
        <v>493</v>
      </c>
      <c r="I7" s="3">
        <v>2.0</v>
      </c>
      <c r="J7" s="3" t="s">
        <v>23</v>
      </c>
      <c r="K7" s="3" t="s">
        <v>34</v>
      </c>
      <c r="L7" s="3" t="s">
        <v>35</v>
      </c>
      <c r="M7" s="3" t="s">
        <v>35</v>
      </c>
      <c r="N7" s="3" t="s">
        <v>36</v>
      </c>
      <c r="O7" s="3" t="s">
        <v>23</v>
      </c>
      <c r="P7" s="3" t="s">
        <v>494</v>
      </c>
      <c r="Q7" s="2"/>
      <c r="R7" s="2"/>
      <c r="S7" s="2"/>
      <c r="T7" s="2"/>
      <c r="U7" s="2"/>
      <c r="V7" s="2"/>
      <c r="W7" s="2"/>
      <c r="X7" s="2"/>
      <c r="Y7" s="2"/>
    </row>
    <row r="8">
      <c r="A8" s="5" t="str">
        <f>IFERROR(__xludf.DUMMYFUNCTION("LEFT(A7, 4) &amp; TEXT(VALUE(REGEXEXTRACT(A7, ""\d+"")) + 1, ""0000"")"),"HEM-0006")</f>
        <v>HEM-0006</v>
      </c>
      <c r="B8" s="3" t="s">
        <v>488</v>
      </c>
      <c r="C8" s="3" t="s">
        <v>492</v>
      </c>
      <c r="D8" s="2" t="str">
        <f t="shared" si="1"/>
        <v>SENTIR SANGUE | F</v>
      </c>
      <c r="E8" s="3" t="s">
        <v>20</v>
      </c>
      <c r="F8" s="3" t="s">
        <v>27</v>
      </c>
      <c r="G8" s="3" t="s">
        <v>32</v>
      </c>
      <c r="H8" s="3" t="s">
        <v>493</v>
      </c>
      <c r="I8" s="3">
        <v>2.0</v>
      </c>
      <c r="J8" s="3" t="s">
        <v>23</v>
      </c>
      <c r="K8" s="3" t="s">
        <v>34</v>
      </c>
      <c r="L8" s="3" t="s">
        <v>38</v>
      </c>
      <c r="M8" s="3" t="s">
        <v>38</v>
      </c>
      <c r="N8" s="3" t="s">
        <v>36</v>
      </c>
      <c r="O8" s="3" t="s">
        <v>23</v>
      </c>
      <c r="P8" s="3" t="s">
        <v>494</v>
      </c>
      <c r="Q8" s="2"/>
      <c r="R8" s="2"/>
      <c r="S8" s="2"/>
      <c r="T8" s="2"/>
      <c r="U8" s="2"/>
      <c r="V8" s="2"/>
      <c r="W8" s="2"/>
      <c r="X8" s="2"/>
      <c r="Y8" s="2"/>
    </row>
    <row r="9">
      <c r="A9" s="5" t="str">
        <f>IFERROR(__xludf.DUMMYFUNCTION("LEFT(A8, 4) &amp; TEXT(VALUE(REGEXEXTRACT(A8, ""\d+"")) + 1, ""0000"")"),"HEM-0007")</f>
        <v>HEM-0007</v>
      </c>
      <c r="B9" s="3" t="s">
        <v>488</v>
      </c>
      <c r="C9" s="3" t="s">
        <v>492</v>
      </c>
      <c r="D9" s="2" t="str">
        <f t="shared" si="1"/>
        <v>SENTIR SANGUE | F</v>
      </c>
      <c r="E9" s="3" t="s">
        <v>20</v>
      </c>
      <c r="F9" s="3" t="s">
        <v>28</v>
      </c>
      <c r="G9" s="3" t="s">
        <v>32</v>
      </c>
      <c r="H9" s="3" t="s">
        <v>493</v>
      </c>
      <c r="I9" s="3">
        <v>2.0</v>
      </c>
      <c r="J9" s="3" t="s">
        <v>23</v>
      </c>
      <c r="K9" s="3" t="s">
        <v>34</v>
      </c>
      <c r="L9" s="3" t="s">
        <v>39</v>
      </c>
      <c r="M9" s="3" t="s">
        <v>39</v>
      </c>
      <c r="N9" s="3" t="s">
        <v>40</v>
      </c>
      <c r="O9" s="3" t="s">
        <v>23</v>
      </c>
      <c r="P9" s="3" t="s">
        <v>494</v>
      </c>
      <c r="Q9" s="2"/>
      <c r="R9" s="2"/>
      <c r="S9" s="2"/>
      <c r="T9" s="2"/>
      <c r="U9" s="2"/>
      <c r="V9" s="2"/>
      <c r="W9" s="2"/>
      <c r="X9" s="2"/>
      <c r="Y9" s="2"/>
    </row>
    <row r="10">
      <c r="A10" s="5" t="str">
        <f>IFERROR(__xludf.DUMMYFUNCTION("LEFT(A9, 4) &amp; TEXT(VALUE(REGEXEXTRACT(A9, ""\d+"")) + 1, ""0000"")"),"HEM-0008")</f>
        <v>HEM-0008</v>
      </c>
      <c r="B10" s="3" t="s">
        <v>488</v>
      </c>
      <c r="C10" s="3" t="s">
        <v>492</v>
      </c>
      <c r="D10" s="2" t="str">
        <f t="shared" si="1"/>
        <v>SENTIR SANGUE | F</v>
      </c>
      <c r="E10" s="3" t="s">
        <v>20</v>
      </c>
      <c r="F10" s="3" t="s">
        <v>29</v>
      </c>
      <c r="G10" s="3" t="s">
        <v>32</v>
      </c>
      <c r="H10" s="3" t="s">
        <v>493</v>
      </c>
      <c r="I10" s="3">
        <v>2.0</v>
      </c>
      <c r="J10" s="3" t="s">
        <v>23</v>
      </c>
      <c r="K10" s="3" t="s">
        <v>34</v>
      </c>
      <c r="L10" s="3" t="s">
        <v>41</v>
      </c>
      <c r="M10" s="3" t="s">
        <v>41</v>
      </c>
      <c r="N10" s="3" t="s">
        <v>40</v>
      </c>
      <c r="O10" s="3" t="s">
        <v>23</v>
      </c>
      <c r="P10" s="3" t="s">
        <v>494</v>
      </c>
      <c r="Q10" s="2"/>
      <c r="R10" s="2"/>
      <c r="S10" s="2"/>
      <c r="T10" s="2"/>
      <c r="U10" s="2"/>
      <c r="V10" s="2"/>
      <c r="W10" s="2"/>
      <c r="X10" s="2"/>
      <c r="Y10" s="2"/>
    </row>
    <row r="11">
      <c r="A11" s="5" t="str">
        <f>IFERROR(__xludf.DUMMYFUNCTION("LEFT(A10, 4) &amp; TEXT(VALUE(REGEXEXTRACT(A10, ""\d+"")) + 1, ""0000"")"),"HEM-0009")</f>
        <v>HEM-0009</v>
      </c>
      <c r="B11" s="3" t="s">
        <v>488</v>
      </c>
      <c r="C11" s="3" t="s">
        <v>492</v>
      </c>
      <c r="D11" s="2" t="str">
        <f t="shared" si="1"/>
        <v>SENTIR SANGUE | F</v>
      </c>
      <c r="E11" s="3" t="s">
        <v>20</v>
      </c>
      <c r="F11" s="3" t="s">
        <v>30</v>
      </c>
      <c r="G11" s="3" t="s">
        <v>32</v>
      </c>
      <c r="H11" s="3" t="s">
        <v>493</v>
      </c>
      <c r="I11" s="3">
        <v>2.0</v>
      </c>
      <c r="J11" s="3" t="s">
        <v>23</v>
      </c>
      <c r="K11" s="3" t="s">
        <v>34</v>
      </c>
      <c r="L11" s="3" t="s">
        <v>42</v>
      </c>
      <c r="M11" s="3" t="s">
        <v>42</v>
      </c>
      <c r="N11" s="3" t="s">
        <v>43</v>
      </c>
      <c r="O11" s="3" t="s">
        <v>23</v>
      </c>
      <c r="P11" s="3" t="s">
        <v>494</v>
      </c>
      <c r="Q11" s="2"/>
      <c r="R11" s="2"/>
      <c r="S11" s="2"/>
      <c r="T11" s="2"/>
      <c r="U11" s="2"/>
      <c r="V11" s="2"/>
      <c r="W11" s="2"/>
      <c r="X11" s="2"/>
      <c r="Y11" s="2"/>
    </row>
    <row r="12">
      <c r="A12" s="5" t="str">
        <f>IFERROR(__xludf.DUMMYFUNCTION("LEFT(A11, 4) &amp; TEXT(VALUE(REGEXEXTRACT(A11, ""\d+"")) + 1, ""0000"")"),"HEM-0010")</f>
        <v>HEM-0010</v>
      </c>
      <c r="B12" s="3" t="s">
        <v>488</v>
      </c>
      <c r="C12" s="3" t="s">
        <v>495</v>
      </c>
      <c r="D12" s="2" t="str">
        <f t="shared" si="1"/>
        <v>JATO DE SANGUE | M</v>
      </c>
      <c r="E12" s="3" t="s">
        <v>48</v>
      </c>
      <c r="F12" s="3" t="s">
        <v>21</v>
      </c>
      <c r="G12" s="3" t="s">
        <v>317</v>
      </c>
      <c r="H12" s="3" t="s">
        <v>493</v>
      </c>
      <c r="I12" s="3">
        <v>4.0</v>
      </c>
      <c r="J12" s="3" t="s">
        <v>23</v>
      </c>
      <c r="K12" s="3" t="s">
        <v>318</v>
      </c>
      <c r="L12" s="3" t="s">
        <v>66</v>
      </c>
      <c r="M12" s="3" t="s">
        <v>65</v>
      </c>
      <c r="N12" s="3" t="s">
        <v>319</v>
      </c>
      <c r="O12" s="3" t="s">
        <v>23</v>
      </c>
      <c r="P12" s="3" t="s">
        <v>496</v>
      </c>
      <c r="Q12" s="3" t="s">
        <v>497</v>
      </c>
      <c r="R12" s="2"/>
      <c r="S12" s="2"/>
      <c r="T12" s="2"/>
      <c r="U12" s="2"/>
      <c r="V12" s="2"/>
      <c r="W12" s="2"/>
      <c r="X12" s="2"/>
      <c r="Y12" s="2"/>
    </row>
    <row r="13">
      <c r="A13" s="5" t="str">
        <f>IFERROR(__xludf.DUMMYFUNCTION("LEFT(A12, 4) &amp; TEXT(VALUE(REGEXEXTRACT(A12, ""\d+"")) + 1, ""0000"")"),"HEM-0011")</f>
        <v>HEM-0011</v>
      </c>
      <c r="B13" s="3" t="s">
        <v>488</v>
      </c>
      <c r="C13" s="3" t="s">
        <v>495</v>
      </c>
      <c r="D13" s="2" t="str">
        <f t="shared" si="1"/>
        <v>JATO DE SANGUE | M</v>
      </c>
      <c r="E13" s="3" t="s">
        <v>48</v>
      </c>
      <c r="F13" s="3" t="s">
        <v>27</v>
      </c>
      <c r="G13" s="3" t="s">
        <v>317</v>
      </c>
      <c r="H13" s="3" t="s">
        <v>493</v>
      </c>
      <c r="I13" s="3">
        <v>4.0</v>
      </c>
      <c r="J13" s="3" t="s">
        <v>23</v>
      </c>
      <c r="K13" s="3" t="s">
        <v>318</v>
      </c>
      <c r="L13" s="3" t="s">
        <v>289</v>
      </c>
      <c r="M13" s="3" t="s">
        <v>35</v>
      </c>
      <c r="N13" s="3" t="s">
        <v>322</v>
      </c>
      <c r="O13" s="3" t="s">
        <v>23</v>
      </c>
      <c r="P13" s="3" t="s">
        <v>496</v>
      </c>
      <c r="Q13" s="3" t="s">
        <v>498</v>
      </c>
      <c r="R13" s="2"/>
      <c r="S13" s="2"/>
      <c r="T13" s="2"/>
      <c r="U13" s="2"/>
      <c r="V13" s="2"/>
      <c r="W13" s="2"/>
      <c r="X13" s="2"/>
      <c r="Y13" s="2"/>
    </row>
    <row r="14">
      <c r="A14" s="5" t="str">
        <f>IFERROR(__xludf.DUMMYFUNCTION("LEFT(A13, 4) &amp; TEXT(VALUE(REGEXEXTRACT(A13, ""\d+"")) + 1, ""0000"")"),"HEM-0012")</f>
        <v>HEM-0012</v>
      </c>
      <c r="B14" s="3" t="s">
        <v>488</v>
      </c>
      <c r="C14" s="3" t="s">
        <v>495</v>
      </c>
      <c r="D14" s="2" t="str">
        <f t="shared" si="1"/>
        <v>JATO DE SANGUE | M</v>
      </c>
      <c r="E14" s="3" t="s">
        <v>48</v>
      </c>
      <c r="F14" s="3" t="s">
        <v>28</v>
      </c>
      <c r="G14" s="3" t="s">
        <v>317</v>
      </c>
      <c r="H14" s="3" t="s">
        <v>493</v>
      </c>
      <c r="I14" s="3">
        <v>4.0</v>
      </c>
      <c r="J14" s="3" t="s">
        <v>23</v>
      </c>
      <c r="K14" s="3" t="s">
        <v>318</v>
      </c>
      <c r="L14" s="3" t="s">
        <v>65</v>
      </c>
      <c r="M14" s="3" t="s">
        <v>297</v>
      </c>
      <c r="N14" s="3" t="s">
        <v>323</v>
      </c>
      <c r="O14" s="3" t="s">
        <v>23</v>
      </c>
      <c r="P14" s="3" t="s">
        <v>499</v>
      </c>
      <c r="Q14" s="3" t="s">
        <v>500</v>
      </c>
      <c r="R14" s="2"/>
      <c r="S14" s="2"/>
      <c r="T14" s="2"/>
      <c r="U14" s="2"/>
      <c r="V14" s="2"/>
      <c r="W14" s="2"/>
      <c r="X14" s="2"/>
      <c r="Y14" s="2"/>
    </row>
    <row r="15">
      <c r="A15" s="5" t="str">
        <f>IFERROR(__xludf.DUMMYFUNCTION("LEFT(A14, 4) &amp; TEXT(VALUE(REGEXEXTRACT(A14, ""\d+"")) + 1, ""0000"")"),"HEM-0013")</f>
        <v>HEM-0013</v>
      </c>
      <c r="B15" s="3" t="s">
        <v>488</v>
      </c>
      <c r="C15" s="3" t="s">
        <v>495</v>
      </c>
      <c r="D15" s="2" t="str">
        <f t="shared" si="1"/>
        <v>JATO DE SANGUE | M</v>
      </c>
      <c r="E15" s="3" t="s">
        <v>48</v>
      </c>
      <c r="F15" s="3" t="s">
        <v>29</v>
      </c>
      <c r="G15" s="3" t="s">
        <v>317</v>
      </c>
      <c r="H15" s="3" t="s">
        <v>493</v>
      </c>
      <c r="I15" s="3">
        <v>4.0</v>
      </c>
      <c r="J15" s="3" t="s">
        <v>23</v>
      </c>
      <c r="K15" s="3" t="s">
        <v>318</v>
      </c>
      <c r="L15" s="3" t="s">
        <v>324</v>
      </c>
      <c r="M15" s="3" t="s">
        <v>325</v>
      </c>
      <c r="N15" s="3" t="s">
        <v>326</v>
      </c>
      <c r="O15" s="3" t="s">
        <v>23</v>
      </c>
      <c r="P15" s="3" t="s">
        <v>499</v>
      </c>
      <c r="Q15" s="3" t="s">
        <v>501</v>
      </c>
      <c r="R15" s="2"/>
      <c r="S15" s="2"/>
      <c r="T15" s="2"/>
      <c r="U15" s="2"/>
      <c r="V15" s="2"/>
      <c r="W15" s="2"/>
      <c r="X15" s="2"/>
      <c r="Y15" s="2"/>
    </row>
    <row r="16">
      <c r="A16" s="5" t="str">
        <f>IFERROR(__xludf.DUMMYFUNCTION("LEFT(A15, 4) &amp; TEXT(VALUE(REGEXEXTRACT(A15, ""\d+"")) + 1, ""0000"")"),"HEM-0014")</f>
        <v>HEM-0014</v>
      </c>
      <c r="B16" s="3" t="s">
        <v>488</v>
      </c>
      <c r="C16" s="3" t="s">
        <v>495</v>
      </c>
      <c r="D16" s="2" t="str">
        <f t="shared" si="1"/>
        <v>JATO DE SANGUE | M</v>
      </c>
      <c r="E16" s="3" t="s">
        <v>48</v>
      </c>
      <c r="F16" s="3" t="s">
        <v>30</v>
      </c>
      <c r="G16" s="3" t="s">
        <v>317</v>
      </c>
      <c r="H16" s="3" t="s">
        <v>493</v>
      </c>
      <c r="I16" s="3">
        <v>4.0</v>
      </c>
      <c r="J16" s="3" t="s">
        <v>23</v>
      </c>
      <c r="K16" s="3" t="s">
        <v>318</v>
      </c>
      <c r="L16" s="3" t="s">
        <v>35</v>
      </c>
      <c r="M16" s="3" t="s">
        <v>41</v>
      </c>
      <c r="N16" s="3" t="s">
        <v>327</v>
      </c>
      <c r="O16" s="3" t="s">
        <v>23</v>
      </c>
      <c r="P16" s="3" t="s">
        <v>502</v>
      </c>
      <c r="Q16" s="3" t="s">
        <v>503</v>
      </c>
      <c r="R16" s="2"/>
      <c r="S16" s="2"/>
      <c r="T16" s="2"/>
      <c r="U16" s="2"/>
      <c r="V16" s="2"/>
      <c r="W16" s="2"/>
      <c r="X16" s="2"/>
      <c r="Y16" s="2"/>
    </row>
    <row r="17">
      <c r="A17" s="5" t="str">
        <f>IFERROR(__xludf.DUMMYFUNCTION("LEFT(A16, 4) &amp; TEXT(VALUE(REGEXEXTRACT(A16, ""\d+"")) + 1, ""0000"")"),"HEM-0015")</f>
        <v>HEM-0015</v>
      </c>
      <c r="B17" s="3" t="s">
        <v>488</v>
      </c>
      <c r="C17" s="3" t="s">
        <v>504</v>
      </c>
      <c r="D17" s="2" t="str">
        <f t="shared" si="1"/>
        <v>NÉVOA DE SANGUE | M</v>
      </c>
      <c r="E17" s="3" t="s">
        <v>48</v>
      </c>
      <c r="F17" s="3" t="s">
        <v>21</v>
      </c>
      <c r="G17" s="3" t="s">
        <v>317</v>
      </c>
      <c r="H17" s="3" t="s">
        <v>493</v>
      </c>
      <c r="I17" s="3">
        <v>4.0</v>
      </c>
      <c r="J17" s="3" t="s">
        <v>23</v>
      </c>
      <c r="K17" s="3" t="s">
        <v>34</v>
      </c>
      <c r="L17" s="11" t="s">
        <v>65</v>
      </c>
      <c r="M17" s="3" t="s">
        <v>289</v>
      </c>
      <c r="N17" s="3" t="s">
        <v>125</v>
      </c>
      <c r="O17" s="3" t="s">
        <v>126</v>
      </c>
      <c r="P17" s="3" t="s">
        <v>505</v>
      </c>
      <c r="Q17" s="3" t="s">
        <v>506</v>
      </c>
      <c r="R17" s="2"/>
      <c r="S17" s="2"/>
      <c r="T17" s="2"/>
      <c r="U17" s="2"/>
      <c r="V17" s="2"/>
      <c r="W17" s="2"/>
      <c r="X17" s="2"/>
      <c r="Y17" s="2"/>
    </row>
    <row r="18">
      <c r="A18" s="5" t="str">
        <f>IFERROR(__xludf.DUMMYFUNCTION("LEFT(A17, 4) &amp; TEXT(VALUE(REGEXEXTRACT(A17, ""\d+"")) + 1, ""0000"")"),"HEM-0016")</f>
        <v>HEM-0016</v>
      </c>
      <c r="B18" s="3" t="s">
        <v>488</v>
      </c>
      <c r="C18" s="3" t="s">
        <v>504</v>
      </c>
      <c r="D18" s="2" t="str">
        <f t="shared" si="1"/>
        <v>NÉVOA DE SANGUE | M</v>
      </c>
      <c r="E18" s="3" t="s">
        <v>48</v>
      </c>
      <c r="F18" s="3" t="s">
        <v>27</v>
      </c>
      <c r="G18" s="3" t="s">
        <v>317</v>
      </c>
      <c r="H18" s="3" t="s">
        <v>493</v>
      </c>
      <c r="I18" s="3">
        <v>4.0</v>
      </c>
      <c r="J18" s="3" t="s">
        <v>23</v>
      </c>
      <c r="K18" s="3" t="s">
        <v>34</v>
      </c>
      <c r="L18" s="3" t="s">
        <v>35</v>
      </c>
      <c r="M18" s="3" t="s">
        <v>65</v>
      </c>
      <c r="N18" s="3" t="s">
        <v>128</v>
      </c>
      <c r="O18" s="3" t="s">
        <v>126</v>
      </c>
      <c r="P18" s="3" t="s">
        <v>505</v>
      </c>
      <c r="Q18" s="3" t="s">
        <v>507</v>
      </c>
      <c r="R18" s="2"/>
      <c r="S18" s="2"/>
      <c r="T18" s="2"/>
      <c r="U18" s="2"/>
      <c r="V18" s="2"/>
      <c r="W18" s="2"/>
      <c r="X18" s="2"/>
      <c r="Y18" s="2"/>
    </row>
    <row r="19">
      <c r="A19" s="5" t="str">
        <f>IFERROR(__xludf.DUMMYFUNCTION("LEFT(A18, 4) &amp; TEXT(VALUE(REGEXEXTRACT(A18, ""\d+"")) + 1, ""0000"")"),"HEM-0017")</f>
        <v>HEM-0017</v>
      </c>
      <c r="B19" s="3" t="s">
        <v>488</v>
      </c>
      <c r="C19" s="3" t="s">
        <v>504</v>
      </c>
      <c r="D19" s="2" t="str">
        <f t="shared" si="1"/>
        <v>NÉVOA DE SANGUE | M</v>
      </c>
      <c r="E19" s="3" t="s">
        <v>48</v>
      </c>
      <c r="F19" s="3" t="s">
        <v>28</v>
      </c>
      <c r="G19" s="3" t="s">
        <v>317</v>
      </c>
      <c r="H19" s="3" t="s">
        <v>493</v>
      </c>
      <c r="I19" s="3">
        <v>4.0</v>
      </c>
      <c r="J19" s="3" t="s">
        <v>23</v>
      </c>
      <c r="K19" s="3" t="s">
        <v>34</v>
      </c>
      <c r="L19" s="3" t="s">
        <v>70</v>
      </c>
      <c r="M19" s="3" t="s">
        <v>324</v>
      </c>
      <c r="N19" s="3" t="s">
        <v>130</v>
      </c>
      <c r="O19" s="3" t="s">
        <v>131</v>
      </c>
      <c r="P19" s="3" t="s">
        <v>505</v>
      </c>
      <c r="Q19" s="3" t="s">
        <v>508</v>
      </c>
      <c r="R19" s="2"/>
      <c r="S19" s="2"/>
      <c r="T19" s="2"/>
      <c r="U19" s="2"/>
      <c r="V19" s="2"/>
      <c r="W19" s="2"/>
      <c r="X19" s="2"/>
      <c r="Y19" s="2"/>
    </row>
    <row r="20">
      <c r="A20" s="5" t="str">
        <f>IFERROR(__xludf.DUMMYFUNCTION("LEFT(A19, 4) &amp; TEXT(VALUE(REGEXEXTRACT(A19, ""\d+"")) + 1, ""0000"")"),"HEM-0018")</f>
        <v>HEM-0018</v>
      </c>
      <c r="B20" s="3" t="s">
        <v>488</v>
      </c>
      <c r="C20" s="3" t="s">
        <v>504</v>
      </c>
      <c r="D20" s="2" t="str">
        <f t="shared" si="1"/>
        <v>NÉVOA DE SANGUE | M</v>
      </c>
      <c r="E20" s="3" t="s">
        <v>48</v>
      </c>
      <c r="F20" s="3" t="s">
        <v>29</v>
      </c>
      <c r="G20" s="3" t="s">
        <v>317</v>
      </c>
      <c r="H20" s="3" t="s">
        <v>493</v>
      </c>
      <c r="I20" s="3">
        <v>4.0</v>
      </c>
      <c r="J20" s="3" t="s">
        <v>23</v>
      </c>
      <c r="K20" s="3" t="s">
        <v>34</v>
      </c>
      <c r="L20" s="3" t="s">
        <v>72</v>
      </c>
      <c r="M20" s="3" t="s">
        <v>35</v>
      </c>
      <c r="N20" s="3" t="s">
        <v>133</v>
      </c>
      <c r="O20" s="3" t="s">
        <v>131</v>
      </c>
      <c r="P20" s="3" t="s">
        <v>505</v>
      </c>
      <c r="Q20" s="3" t="s">
        <v>509</v>
      </c>
      <c r="R20" s="2"/>
      <c r="S20" s="2"/>
      <c r="T20" s="2"/>
      <c r="U20" s="2"/>
      <c r="V20" s="2"/>
      <c r="W20" s="2"/>
      <c r="X20" s="2"/>
      <c r="Y20" s="2"/>
    </row>
    <row r="21">
      <c r="A21" s="5" t="str">
        <f>IFERROR(__xludf.DUMMYFUNCTION("LEFT(A20, 4) &amp; TEXT(VALUE(REGEXEXTRACT(A20, ""\d+"")) + 1, ""0000"")"),"HEM-0019")</f>
        <v>HEM-0019</v>
      </c>
      <c r="B21" s="3" t="s">
        <v>488</v>
      </c>
      <c r="C21" s="3" t="s">
        <v>504</v>
      </c>
      <c r="D21" s="2" t="str">
        <f t="shared" si="1"/>
        <v>NÉVOA DE SANGUE | M</v>
      </c>
      <c r="E21" s="3" t="s">
        <v>48</v>
      </c>
      <c r="F21" s="3" t="s">
        <v>30</v>
      </c>
      <c r="G21" s="3" t="s">
        <v>317</v>
      </c>
      <c r="H21" s="3" t="s">
        <v>493</v>
      </c>
      <c r="I21" s="3">
        <v>4.0</v>
      </c>
      <c r="J21" s="3" t="s">
        <v>23</v>
      </c>
      <c r="K21" s="3" t="s">
        <v>34</v>
      </c>
      <c r="L21" s="3" t="s">
        <v>39</v>
      </c>
      <c r="M21" s="3" t="s">
        <v>510</v>
      </c>
      <c r="N21" s="3" t="s">
        <v>135</v>
      </c>
      <c r="O21" s="3" t="s">
        <v>136</v>
      </c>
      <c r="P21" s="3" t="s">
        <v>505</v>
      </c>
      <c r="Q21" s="3" t="s">
        <v>511</v>
      </c>
      <c r="R21" s="2"/>
      <c r="S21" s="2"/>
      <c r="T21" s="2"/>
      <c r="U21" s="2"/>
      <c r="V21" s="2"/>
      <c r="W21" s="2"/>
      <c r="X21" s="2"/>
      <c r="Y21" s="2"/>
    </row>
    <row r="22">
      <c r="A22" s="5" t="str">
        <f>IFERROR(__xludf.DUMMYFUNCTION("LEFT(A21, 4) &amp; TEXT(VALUE(REGEXEXTRACT(A21, ""\d+"")) + 1, ""0000"")"),"HEM-0020")</f>
        <v>HEM-0020</v>
      </c>
      <c r="B22" s="3" t="s">
        <v>488</v>
      </c>
      <c r="C22" s="3" t="s">
        <v>512</v>
      </c>
      <c r="D22" s="2" t="str">
        <f t="shared" si="1"/>
        <v>CRISTALIZAR SANGUE | M</v>
      </c>
      <c r="E22" s="3" t="s">
        <v>48</v>
      </c>
      <c r="F22" s="3" t="s">
        <v>21</v>
      </c>
      <c r="G22" s="3" t="s">
        <v>77</v>
      </c>
      <c r="H22" s="3" t="s">
        <v>493</v>
      </c>
      <c r="I22" s="3">
        <v>4.0</v>
      </c>
      <c r="J22" s="3" t="s">
        <v>23</v>
      </c>
      <c r="K22" s="3" t="s">
        <v>34</v>
      </c>
      <c r="L22" s="11" t="s">
        <v>65</v>
      </c>
      <c r="M22" s="3" t="s">
        <v>66</v>
      </c>
      <c r="N22" s="3" t="s">
        <v>36</v>
      </c>
      <c r="O22" s="3" t="s">
        <v>126</v>
      </c>
      <c r="P22" s="3" t="s">
        <v>513</v>
      </c>
      <c r="Q22" s="3" t="s">
        <v>514</v>
      </c>
      <c r="R22" s="2"/>
      <c r="S22" s="2"/>
      <c r="T22" s="2"/>
      <c r="U22" s="2"/>
      <c r="V22" s="2"/>
      <c r="W22" s="2"/>
      <c r="X22" s="2"/>
      <c r="Y22" s="2"/>
    </row>
    <row r="23">
      <c r="A23" s="5" t="str">
        <f>IFERROR(__xludf.DUMMYFUNCTION("LEFT(A22, 4) &amp; TEXT(VALUE(REGEXEXTRACT(A22, ""\d+"")) + 1, ""0000"")"),"HEM-0021")</f>
        <v>HEM-0021</v>
      </c>
      <c r="B23" s="3" t="s">
        <v>488</v>
      </c>
      <c r="C23" s="3" t="s">
        <v>512</v>
      </c>
      <c r="D23" s="2" t="str">
        <f t="shared" si="1"/>
        <v>CRISTALIZAR SANGUE | M</v>
      </c>
      <c r="E23" s="3" t="s">
        <v>48</v>
      </c>
      <c r="F23" s="3" t="s">
        <v>27</v>
      </c>
      <c r="G23" s="3" t="s">
        <v>77</v>
      </c>
      <c r="H23" s="3" t="s">
        <v>493</v>
      </c>
      <c r="I23" s="3">
        <v>4.0</v>
      </c>
      <c r="J23" s="3" t="s">
        <v>23</v>
      </c>
      <c r="K23" s="3" t="s">
        <v>34</v>
      </c>
      <c r="L23" s="3" t="s">
        <v>35</v>
      </c>
      <c r="M23" s="3" t="s">
        <v>66</v>
      </c>
      <c r="N23" s="3" t="s">
        <v>36</v>
      </c>
      <c r="O23" s="3" t="s">
        <v>126</v>
      </c>
      <c r="P23" s="3" t="s">
        <v>515</v>
      </c>
      <c r="Q23" s="3" t="s">
        <v>516</v>
      </c>
      <c r="R23" s="2"/>
      <c r="S23" s="2"/>
      <c r="T23" s="2"/>
      <c r="U23" s="2"/>
      <c r="V23" s="2"/>
      <c r="W23" s="2"/>
      <c r="X23" s="2"/>
      <c r="Y23" s="2"/>
    </row>
    <row r="24">
      <c r="A24" s="5" t="str">
        <f>IFERROR(__xludf.DUMMYFUNCTION("LEFT(A23, 4) &amp; TEXT(VALUE(REGEXEXTRACT(A23, ""\d+"")) + 1, ""0000"")"),"HEM-0022")</f>
        <v>HEM-0022</v>
      </c>
      <c r="B24" s="3" t="s">
        <v>488</v>
      </c>
      <c r="C24" s="3" t="s">
        <v>512</v>
      </c>
      <c r="D24" s="2" t="str">
        <f t="shared" si="1"/>
        <v>CRISTALIZAR SANGUE | M</v>
      </c>
      <c r="E24" s="3" t="s">
        <v>48</v>
      </c>
      <c r="F24" s="3" t="s">
        <v>28</v>
      </c>
      <c r="G24" s="3" t="s">
        <v>77</v>
      </c>
      <c r="H24" s="3" t="s">
        <v>493</v>
      </c>
      <c r="I24" s="3">
        <v>4.0</v>
      </c>
      <c r="J24" s="3" t="s">
        <v>23</v>
      </c>
      <c r="K24" s="3" t="s">
        <v>34</v>
      </c>
      <c r="L24" s="3" t="s">
        <v>70</v>
      </c>
      <c r="M24" s="3" t="s">
        <v>66</v>
      </c>
      <c r="N24" s="3" t="s">
        <v>40</v>
      </c>
      <c r="O24" s="3" t="s">
        <v>131</v>
      </c>
      <c r="P24" s="3" t="s">
        <v>517</v>
      </c>
      <c r="Q24" s="3" t="s">
        <v>518</v>
      </c>
      <c r="R24" s="2"/>
      <c r="S24" s="2"/>
      <c r="T24" s="2"/>
      <c r="U24" s="2"/>
      <c r="V24" s="2"/>
      <c r="W24" s="2"/>
      <c r="X24" s="2"/>
      <c r="Y24" s="2"/>
    </row>
    <row r="25">
      <c r="A25" s="5" t="str">
        <f>IFERROR(__xludf.DUMMYFUNCTION("LEFT(A24, 4) &amp; TEXT(VALUE(REGEXEXTRACT(A24, ""\d+"")) + 1, ""0000"")"),"HEM-0023")</f>
        <v>HEM-0023</v>
      </c>
      <c r="B25" s="3" t="s">
        <v>488</v>
      </c>
      <c r="C25" s="3" t="s">
        <v>512</v>
      </c>
      <c r="D25" s="2" t="str">
        <f t="shared" si="1"/>
        <v>CRISTALIZAR SANGUE | M</v>
      </c>
      <c r="E25" s="3" t="s">
        <v>48</v>
      </c>
      <c r="F25" s="3" t="s">
        <v>29</v>
      </c>
      <c r="G25" s="3" t="s">
        <v>77</v>
      </c>
      <c r="H25" s="3" t="s">
        <v>493</v>
      </c>
      <c r="I25" s="3">
        <v>4.0</v>
      </c>
      <c r="J25" s="3" t="s">
        <v>23</v>
      </c>
      <c r="K25" s="3" t="s">
        <v>34</v>
      </c>
      <c r="L25" s="3" t="s">
        <v>72</v>
      </c>
      <c r="M25" s="3" t="s">
        <v>66</v>
      </c>
      <c r="N25" s="3" t="s">
        <v>40</v>
      </c>
      <c r="O25" s="3" t="s">
        <v>131</v>
      </c>
      <c r="P25" s="3" t="s">
        <v>519</v>
      </c>
      <c r="Q25" s="3" t="s">
        <v>520</v>
      </c>
      <c r="R25" s="2"/>
      <c r="S25" s="2"/>
      <c r="T25" s="2"/>
      <c r="U25" s="2"/>
      <c r="V25" s="2"/>
      <c r="W25" s="2"/>
      <c r="X25" s="2"/>
      <c r="Y25" s="2"/>
    </row>
    <row r="26">
      <c r="A26" s="5" t="str">
        <f>IFERROR(__xludf.DUMMYFUNCTION("LEFT(A25, 4) &amp; TEXT(VALUE(REGEXEXTRACT(A25, ""\d+"")) + 1, ""0000"")"),"HEM-0024")</f>
        <v>HEM-0024</v>
      </c>
      <c r="B26" s="3" t="s">
        <v>488</v>
      </c>
      <c r="C26" s="3" t="s">
        <v>512</v>
      </c>
      <c r="D26" s="2" t="str">
        <f t="shared" si="1"/>
        <v>CRISTALIZAR SANGUE | M</v>
      </c>
      <c r="E26" s="3" t="s">
        <v>48</v>
      </c>
      <c r="F26" s="3" t="s">
        <v>30</v>
      </c>
      <c r="G26" s="3" t="s">
        <v>77</v>
      </c>
      <c r="H26" s="3" t="s">
        <v>493</v>
      </c>
      <c r="I26" s="3">
        <v>4.0</v>
      </c>
      <c r="J26" s="3" t="s">
        <v>23</v>
      </c>
      <c r="K26" s="3" t="s">
        <v>34</v>
      </c>
      <c r="L26" s="3" t="s">
        <v>39</v>
      </c>
      <c r="M26" s="3" t="s">
        <v>66</v>
      </c>
      <c r="N26" s="3" t="s">
        <v>43</v>
      </c>
      <c r="O26" s="3" t="s">
        <v>136</v>
      </c>
      <c r="P26" s="3" t="s">
        <v>521</v>
      </c>
      <c r="Q26" s="3" t="s">
        <v>522</v>
      </c>
      <c r="R26" s="2"/>
      <c r="S26" s="2"/>
      <c r="T26" s="2"/>
      <c r="U26" s="2"/>
      <c r="V26" s="2"/>
      <c r="W26" s="2"/>
      <c r="X26" s="2"/>
      <c r="Y26" s="2"/>
    </row>
    <row r="27">
      <c r="A27" s="5" t="str">
        <f>IFERROR(__xludf.DUMMYFUNCTION("LEFT(A26, 4) &amp; TEXT(VALUE(REGEXEXTRACT(A26, ""\d+"")) + 1, ""0000"")"),"HEM-0025")</f>
        <v>HEM-0025</v>
      </c>
      <c r="B27" s="3" t="s">
        <v>488</v>
      </c>
      <c r="C27" s="3" t="s">
        <v>523</v>
      </c>
      <c r="D27" s="2" t="str">
        <f t="shared" si="1"/>
        <v>MÍSSIL DE SANGUE | F</v>
      </c>
      <c r="E27" s="3" t="s">
        <v>20</v>
      </c>
      <c r="F27" s="3" t="s">
        <v>21</v>
      </c>
      <c r="G27" s="3" t="s">
        <v>146</v>
      </c>
      <c r="H27" s="3" t="s">
        <v>493</v>
      </c>
      <c r="I27" s="3">
        <v>2.0</v>
      </c>
      <c r="J27" s="3" t="s">
        <v>23</v>
      </c>
      <c r="K27" s="3" t="s">
        <v>95</v>
      </c>
      <c r="L27" s="3" t="s">
        <v>147</v>
      </c>
      <c r="M27" s="3" t="s">
        <v>66</v>
      </c>
      <c r="N27" s="3" t="s">
        <v>148</v>
      </c>
      <c r="O27" s="3" t="s">
        <v>23</v>
      </c>
      <c r="P27" s="3" t="s">
        <v>524</v>
      </c>
      <c r="Q27" s="3" t="s">
        <v>525</v>
      </c>
      <c r="R27" s="2"/>
      <c r="S27" s="2"/>
      <c r="T27" s="2"/>
      <c r="U27" s="2"/>
      <c r="V27" s="2"/>
      <c r="W27" s="2"/>
      <c r="X27" s="2"/>
      <c r="Y27" s="2"/>
    </row>
    <row r="28">
      <c r="A28" s="5" t="str">
        <f>IFERROR(__xludf.DUMMYFUNCTION("LEFT(A27, 4) &amp; TEXT(VALUE(REGEXEXTRACT(A27, ""\d+"")) + 1, ""0000"")"),"HEM-0026")</f>
        <v>HEM-0026</v>
      </c>
      <c r="B28" s="3" t="s">
        <v>488</v>
      </c>
      <c r="C28" s="3" t="s">
        <v>523</v>
      </c>
      <c r="D28" s="2" t="str">
        <f t="shared" si="1"/>
        <v>MÍSSIL DE SANGUE | F</v>
      </c>
      <c r="E28" s="3" t="s">
        <v>20</v>
      </c>
      <c r="F28" s="3" t="s">
        <v>27</v>
      </c>
      <c r="G28" s="3" t="s">
        <v>146</v>
      </c>
      <c r="H28" s="3" t="s">
        <v>493</v>
      </c>
      <c r="I28" s="3">
        <v>2.0</v>
      </c>
      <c r="J28" s="3" t="s">
        <v>23</v>
      </c>
      <c r="K28" s="3" t="s">
        <v>95</v>
      </c>
      <c r="L28" s="3" t="s">
        <v>151</v>
      </c>
      <c r="M28" s="3" t="s">
        <v>66</v>
      </c>
      <c r="N28" s="3" t="s">
        <v>148</v>
      </c>
      <c r="O28" s="3" t="s">
        <v>23</v>
      </c>
      <c r="P28" s="3" t="s">
        <v>526</v>
      </c>
      <c r="Q28" s="3" t="s">
        <v>527</v>
      </c>
      <c r="R28" s="2"/>
      <c r="S28" s="2"/>
      <c r="T28" s="2"/>
      <c r="U28" s="2"/>
      <c r="V28" s="2"/>
      <c r="W28" s="2"/>
      <c r="X28" s="2"/>
      <c r="Y28" s="2"/>
    </row>
    <row r="29">
      <c r="A29" s="5" t="str">
        <f>IFERROR(__xludf.DUMMYFUNCTION("LEFT(A28, 4) &amp; TEXT(VALUE(REGEXEXTRACT(A28, ""\d+"")) + 1, ""0000"")"),"HEM-0027")</f>
        <v>HEM-0027</v>
      </c>
      <c r="B29" s="3" t="s">
        <v>488</v>
      </c>
      <c r="C29" s="3" t="s">
        <v>523</v>
      </c>
      <c r="D29" s="2" t="str">
        <f t="shared" si="1"/>
        <v>MÍSSIL DE SANGUE | F</v>
      </c>
      <c r="E29" s="3" t="s">
        <v>20</v>
      </c>
      <c r="F29" s="3" t="s">
        <v>28</v>
      </c>
      <c r="G29" s="3" t="s">
        <v>146</v>
      </c>
      <c r="H29" s="3" t="s">
        <v>493</v>
      </c>
      <c r="I29" s="3">
        <v>2.0</v>
      </c>
      <c r="J29" s="3" t="s">
        <v>23</v>
      </c>
      <c r="K29" s="3" t="s">
        <v>95</v>
      </c>
      <c r="L29" s="3" t="s">
        <v>152</v>
      </c>
      <c r="M29" s="3" t="s">
        <v>66</v>
      </c>
      <c r="N29" s="3" t="s">
        <v>153</v>
      </c>
      <c r="O29" s="3" t="s">
        <v>23</v>
      </c>
      <c r="P29" s="3" t="s">
        <v>528</v>
      </c>
      <c r="Q29" s="3" t="s">
        <v>529</v>
      </c>
      <c r="R29" s="2"/>
      <c r="S29" s="2"/>
      <c r="T29" s="2"/>
      <c r="U29" s="2"/>
      <c r="V29" s="2"/>
      <c r="W29" s="2"/>
      <c r="X29" s="2"/>
      <c r="Y29" s="2"/>
    </row>
    <row r="30">
      <c r="A30" s="5" t="str">
        <f>IFERROR(__xludf.DUMMYFUNCTION("LEFT(A29, 4) &amp; TEXT(VALUE(REGEXEXTRACT(A29, ""\d+"")) + 1, ""0000"")"),"HEM-0028")</f>
        <v>HEM-0028</v>
      </c>
      <c r="B30" s="3" t="s">
        <v>488</v>
      </c>
      <c r="C30" s="3" t="s">
        <v>523</v>
      </c>
      <c r="D30" s="2" t="str">
        <f t="shared" si="1"/>
        <v>MÍSSIL DE SANGUE | F</v>
      </c>
      <c r="E30" s="3" t="s">
        <v>20</v>
      </c>
      <c r="F30" s="3" t="s">
        <v>29</v>
      </c>
      <c r="G30" s="3" t="s">
        <v>146</v>
      </c>
      <c r="H30" s="3" t="s">
        <v>493</v>
      </c>
      <c r="I30" s="3">
        <v>2.0</v>
      </c>
      <c r="J30" s="3" t="s">
        <v>23</v>
      </c>
      <c r="K30" s="3" t="s">
        <v>95</v>
      </c>
      <c r="L30" s="3" t="s">
        <v>155</v>
      </c>
      <c r="M30" s="3" t="s">
        <v>66</v>
      </c>
      <c r="N30" s="3" t="s">
        <v>153</v>
      </c>
      <c r="O30" s="3" t="s">
        <v>23</v>
      </c>
      <c r="P30" s="3" t="s">
        <v>530</v>
      </c>
      <c r="Q30" s="3" t="s">
        <v>531</v>
      </c>
      <c r="R30" s="2"/>
      <c r="S30" s="2"/>
      <c r="T30" s="2"/>
      <c r="U30" s="2"/>
      <c r="V30" s="2"/>
      <c r="W30" s="2"/>
      <c r="X30" s="2"/>
      <c r="Y30" s="2"/>
    </row>
    <row r="31">
      <c r="A31" s="5" t="str">
        <f>IFERROR(__xludf.DUMMYFUNCTION("LEFT(A30, 4) &amp; TEXT(VALUE(REGEXEXTRACT(A30, ""\d+"")) + 1, ""0000"")"),"HEM-0029")</f>
        <v>HEM-0029</v>
      </c>
      <c r="B31" s="3" t="s">
        <v>488</v>
      </c>
      <c r="C31" s="3" t="s">
        <v>523</v>
      </c>
      <c r="D31" s="2" t="str">
        <f t="shared" si="1"/>
        <v>MÍSSIL DE SANGUE | F</v>
      </c>
      <c r="E31" s="3" t="s">
        <v>20</v>
      </c>
      <c r="F31" s="3" t="s">
        <v>30</v>
      </c>
      <c r="G31" s="3" t="s">
        <v>146</v>
      </c>
      <c r="H31" s="3" t="s">
        <v>493</v>
      </c>
      <c r="I31" s="3">
        <v>2.0</v>
      </c>
      <c r="J31" s="3" t="s">
        <v>23</v>
      </c>
      <c r="K31" s="3" t="s">
        <v>95</v>
      </c>
      <c r="L31" s="3" t="s">
        <v>156</v>
      </c>
      <c r="M31" s="3" t="s">
        <v>66</v>
      </c>
      <c r="N31" s="3" t="s">
        <v>157</v>
      </c>
      <c r="O31" s="3" t="s">
        <v>23</v>
      </c>
      <c r="P31" s="3" t="s">
        <v>532</v>
      </c>
      <c r="Q31" s="3" t="s">
        <v>533</v>
      </c>
      <c r="R31" s="2"/>
      <c r="S31" s="2"/>
      <c r="T31" s="2"/>
      <c r="U31" s="2"/>
      <c r="V31" s="2"/>
      <c r="W31" s="2"/>
      <c r="X31" s="2"/>
      <c r="Y31" s="2"/>
    </row>
    <row r="32">
      <c r="A32" s="5" t="str">
        <f>IFERROR(__xludf.DUMMYFUNCTION("LEFT(A31, 4) &amp; TEXT(VALUE(REGEXEXTRACT(A31, ""\d+"")) + 1, ""0000"")"),"HEM-0030")</f>
        <v>HEM-0030</v>
      </c>
      <c r="B32" s="3" t="s">
        <v>488</v>
      </c>
      <c r="C32" s="3" t="s">
        <v>534</v>
      </c>
      <c r="D32" s="2" t="str">
        <f t="shared" si="1"/>
        <v>ARMADURA DE SANGUE | M</v>
      </c>
      <c r="E32" s="3" t="s">
        <v>48</v>
      </c>
      <c r="F32" s="3" t="s">
        <v>21</v>
      </c>
      <c r="G32" s="3" t="s">
        <v>86</v>
      </c>
      <c r="H32" s="3" t="s">
        <v>493</v>
      </c>
      <c r="I32" s="3">
        <v>2.0</v>
      </c>
      <c r="J32" s="3" t="s">
        <v>23</v>
      </c>
      <c r="K32" s="3" t="s">
        <v>95</v>
      </c>
      <c r="L32" s="12" t="s">
        <v>65</v>
      </c>
      <c r="M32" s="3" t="s">
        <v>124</v>
      </c>
      <c r="N32" s="3" t="s">
        <v>125</v>
      </c>
      <c r="O32" s="3" t="s">
        <v>126</v>
      </c>
      <c r="P32" s="3" t="s">
        <v>535</v>
      </c>
      <c r="Q32" s="3" t="s">
        <v>536</v>
      </c>
      <c r="R32" s="2"/>
      <c r="S32" s="2"/>
      <c r="T32" s="2"/>
      <c r="U32" s="2"/>
      <c r="V32" s="2"/>
      <c r="W32" s="2"/>
      <c r="X32" s="2"/>
      <c r="Y32" s="2"/>
    </row>
    <row r="33">
      <c r="A33" s="5" t="str">
        <f>IFERROR(__xludf.DUMMYFUNCTION("LEFT(A32, 4) &amp; TEXT(VALUE(REGEXEXTRACT(A32, ""\d+"")) + 1, ""0000"")"),"HEM-0031")</f>
        <v>HEM-0031</v>
      </c>
      <c r="B33" s="3" t="s">
        <v>488</v>
      </c>
      <c r="C33" s="3" t="s">
        <v>534</v>
      </c>
      <c r="D33" s="2" t="str">
        <f t="shared" si="1"/>
        <v>ARMADURA DE SANGUE | M</v>
      </c>
      <c r="E33" s="3" t="s">
        <v>48</v>
      </c>
      <c r="F33" s="3" t="s">
        <v>27</v>
      </c>
      <c r="G33" s="3" t="s">
        <v>86</v>
      </c>
      <c r="H33" s="3" t="s">
        <v>493</v>
      </c>
      <c r="I33" s="3">
        <v>2.0</v>
      </c>
      <c r="J33" s="3" t="s">
        <v>23</v>
      </c>
      <c r="K33" s="3" t="s">
        <v>95</v>
      </c>
      <c r="L33" s="12" t="s">
        <v>35</v>
      </c>
      <c r="M33" s="3" t="s">
        <v>124</v>
      </c>
      <c r="N33" s="3" t="s">
        <v>128</v>
      </c>
      <c r="O33" s="3" t="s">
        <v>126</v>
      </c>
      <c r="P33" s="3" t="s">
        <v>537</v>
      </c>
      <c r="Q33" s="3" t="s">
        <v>538</v>
      </c>
      <c r="R33" s="2"/>
      <c r="S33" s="2"/>
      <c r="T33" s="2"/>
      <c r="U33" s="2"/>
      <c r="V33" s="2"/>
      <c r="W33" s="2"/>
      <c r="X33" s="2"/>
      <c r="Y33" s="2"/>
    </row>
    <row r="34">
      <c r="A34" s="5" t="str">
        <f>IFERROR(__xludf.DUMMYFUNCTION("LEFT(A33, 4) &amp; TEXT(VALUE(REGEXEXTRACT(A33, ""\d+"")) + 1, ""0000"")"),"HEM-0032")</f>
        <v>HEM-0032</v>
      </c>
      <c r="B34" s="3" t="s">
        <v>488</v>
      </c>
      <c r="C34" s="3" t="s">
        <v>534</v>
      </c>
      <c r="D34" s="2" t="str">
        <f t="shared" si="1"/>
        <v>ARMADURA DE SANGUE | M</v>
      </c>
      <c r="E34" s="3" t="s">
        <v>48</v>
      </c>
      <c r="F34" s="3" t="s">
        <v>28</v>
      </c>
      <c r="G34" s="3" t="s">
        <v>86</v>
      </c>
      <c r="H34" s="3" t="s">
        <v>493</v>
      </c>
      <c r="I34" s="3">
        <v>2.0</v>
      </c>
      <c r="J34" s="3" t="s">
        <v>23</v>
      </c>
      <c r="K34" s="3" t="s">
        <v>95</v>
      </c>
      <c r="L34" s="12" t="s">
        <v>70</v>
      </c>
      <c r="M34" s="3" t="s">
        <v>124</v>
      </c>
      <c r="N34" s="3" t="s">
        <v>130</v>
      </c>
      <c r="O34" s="3" t="s">
        <v>131</v>
      </c>
      <c r="P34" s="3" t="s">
        <v>539</v>
      </c>
      <c r="Q34" s="3" t="s">
        <v>540</v>
      </c>
      <c r="R34" s="2"/>
      <c r="S34" s="2"/>
      <c r="T34" s="2"/>
      <c r="U34" s="2"/>
      <c r="V34" s="2"/>
      <c r="W34" s="2"/>
      <c r="X34" s="2"/>
      <c r="Y34" s="2"/>
    </row>
    <row r="35">
      <c r="A35" s="5" t="str">
        <f>IFERROR(__xludf.DUMMYFUNCTION("LEFT(A34, 4) &amp; TEXT(VALUE(REGEXEXTRACT(A34, ""\d+"")) + 1, ""0000"")"),"HEM-0033")</f>
        <v>HEM-0033</v>
      </c>
      <c r="B35" s="3" t="s">
        <v>488</v>
      </c>
      <c r="C35" s="3" t="s">
        <v>534</v>
      </c>
      <c r="D35" s="2" t="str">
        <f t="shared" si="1"/>
        <v>ARMADURA DE SANGUE | M</v>
      </c>
      <c r="E35" s="3" t="s">
        <v>48</v>
      </c>
      <c r="F35" s="3" t="s">
        <v>29</v>
      </c>
      <c r="G35" s="3" t="s">
        <v>86</v>
      </c>
      <c r="H35" s="3" t="s">
        <v>493</v>
      </c>
      <c r="I35" s="3">
        <v>2.0</v>
      </c>
      <c r="J35" s="3" t="s">
        <v>23</v>
      </c>
      <c r="K35" s="3" t="s">
        <v>95</v>
      </c>
      <c r="L35" s="12" t="s">
        <v>72</v>
      </c>
      <c r="M35" s="3" t="s">
        <v>124</v>
      </c>
      <c r="N35" s="3" t="s">
        <v>133</v>
      </c>
      <c r="O35" s="3" t="s">
        <v>131</v>
      </c>
      <c r="P35" s="3" t="s">
        <v>541</v>
      </c>
      <c r="Q35" s="3" t="s">
        <v>542</v>
      </c>
      <c r="R35" s="2"/>
      <c r="S35" s="2"/>
      <c r="T35" s="2"/>
      <c r="U35" s="2"/>
      <c r="V35" s="2"/>
      <c r="W35" s="2"/>
      <c r="X35" s="2"/>
      <c r="Y35" s="2"/>
    </row>
    <row r="36">
      <c r="A36" s="5" t="str">
        <f>IFERROR(__xludf.DUMMYFUNCTION("LEFT(A35, 4) &amp; TEXT(VALUE(REGEXEXTRACT(A35, ""\d+"")) + 1, ""0000"")"),"HEM-0034")</f>
        <v>HEM-0034</v>
      </c>
      <c r="B36" s="3" t="s">
        <v>488</v>
      </c>
      <c r="C36" s="3" t="s">
        <v>534</v>
      </c>
      <c r="D36" s="2" t="str">
        <f t="shared" si="1"/>
        <v>ARMADURA DE SANGUE | M</v>
      </c>
      <c r="E36" s="3" t="s">
        <v>48</v>
      </c>
      <c r="F36" s="3" t="s">
        <v>30</v>
      </c>
      <c r="G36" s="3" t="s">
        <v>86</v>
      </c>
      <c r="H36" s="3" t="s">
        <v>493</v>
      </c>
      <c r="I36" s="3">
        <v>2.0</v>
      </c>
      <c r="J36" s="3" t="s">
        <v>23</v>
      </c>
      <c r="K36" s="3" t="s">
        <v>95</v>
      </c>
      <c r="L36" s="12" t="s">
        <v>39</v>
      </c>
      <c r="M36" s="3" t="s">
        <v>124</v>
      </c>
      <c r="N36" s="3" t="s">
        <v>135</v>
      </c>
      <c r="O36" s="3" t="s">
        <v>136</v>
      </c>
      <c r="P36" s="3" t="s">
        <v>543</v>
      </c>
      <c r="Q36" s="3" t="s">
        <v>544</v>
      </c>
      <c r="R36" s="2"/>
      <c r="S36" s="2"/>
      <c r="T36" s="2"/>
      <c r="U36" s="2"/>
      <c r="V36" s="2"/>
      <c r="W36" s="2"/>
      <c r="X36" s="2"/>
      <c r="Y36" s="2"/>
    </row>
    <row r="37">
      <c r="A37" s="5" t="str">
        <f>IFERROR(__xludf.DUMMYFUNCTION("LEFT(A36, 4) &amp; TEXT(VALUE(REGEXEXTRACT(A36, ""\d+"")) + 1, ""0000"")"),"HEM-0035")</f>
        <v>HEM-0035</v>
      </c>
      <c r="B37" s="3" t="s">
        <v>488</v>
      </c>
      <c r="C37" s="3" t="s">
        <v>545</v>
      </c>
      <c r="D37" s="2" t="str">
        <f t="shared" si="1"/>
        <v>PAREDE DE SANGUE | D</v>
      </c>
      <c r="E37" s="3" t="s">
        <v>76</v>
      </c>
      <c r="F37" s="3" t="s">
        <v>21</v>
      </c>
      <c r="G37" s="3" t="s">
        <v>214</v>
      </c>
      <c r="H37" s="3" t="s">
        <v>493</v>
      </c>
      <c r="I37" s="3">
        <v>8.0</v>
      </c>
      <c r="J37" s="3" t="s">
        <v>50</v>
      </c>
      <c r="K37" s="3" t="s">
        <v>247</v>
      </c>
      <c r="L37" s="3" t="s">
        <v>65</v>
      </c>
      <c r="M37" s="3" t="s">
        <v>65</v>
      </c>
      <c r="N37" s="3" t="s">
        <v>248</v>
      </c>
      <c r="O37" s="3" t="s">
        <v>126</v>
      </c>
      <c r="P37" s="3" t="s">
        <v>546</v>
      </c>
      <c r="Q37" s="3" t="s">
        <v>547</v>
      </c>
      <c r="R37" s="2"/>
      <c r="S37" s="2"/>
      <c r="T37" s="2"/>
      <c r="U37" s="2"/>
      <c r="V37" s="2"/>
      <c r="W37" s="2"/>
      <c r="X37" s="2"/>
      <c r="Y37" s="2"/>
    </row>
    <row r="38">
      <c r="A38" s="5" t="str">
        <f>IFERROR(__xludf.DUMMYFUNCTION("LEFT(A37, 4) &amp; TEXT(VALUE(REGEXEXTRACT(A37, ""\d+"")) + 1, ""0000"")"),"HEM-0036")</f>
        <v>HEM-0036</v>
      </c>
      <c r="B38" s="3" t="s">
        <v>488</v>
      </c>
      <c r="C38" s="3" t="s">
        <v>545</v>
      </c>
      <c r="D38" s="2" t="str">
        <f t="shared" si="1"/>
        <v>PAREDE DE SANGUE | D</v>
      </c>
      <c r="E38" s="3" t="s">
        <v>76</v>
      </c>
      <c r="F38" s="3" t="s">
        <v>27</v>
      </c>
      <c r="G38" s="3" t="s">
        <v>214</v>
      </c>
      <c r="H38" s="3" t="s">
        <v>493</v>
      </c>
      <c r="I38" s="3">
        <v>8.0</v>
      </c>
      <c r="J38" s="3" t="s">
        <v>50</v>
      </c>
      <c r="K38" s="3" t="s">
        <v>247</v>
      </c>
      <c r="L38" s="3" t="s">
        <v>35</v>
      </c>
      <c r="M38" s="3" t="s">
        <v>65</v>
      </c>
      <c r="N38" s="3" t="s">
        <v>250</v>
      </c>
      <c r="O38" s="3" t="s">
        <v>126</v>
      </c>
      <c r="P38" s="3" t="s">
        <v>546</v>
      </c>
      <c r="Q38" s="3" t="s">
        <v>548</v>
      </c>
      <c r="R38" s="2"/>
      <c r="S38" s="2"/>
      <c r="T38" s="2"/>
      <c r="U38" s="2"/>
      <c r="V38" s="2"/>
      <c r="W38" s="2"/>
      <c r="X38" s="2"/>
      <c r="Y38" s="2"/>
    </row>
    <row r="39">
      <c r="A39" s="5" t="str">
        <f>IFERROR(__xludf.DUMMYFUNCTION("LEFT(A38, 4) &amp; TEXT(VALUE(REGEXEXTRACT(A38, ""\d+"")) + 1, ""0000"")"),"HEM-0037")</f>
        <v>HEM-0037</v>
      </c>
      <c r="B39" s="3" t="s">
        <v>488</v>
      </c>
      <c r="C39" s="3" t="s">
        <v>545</v>
      </c>
      <c r="D39" s="2" t="str">
        <f t="shared" si="1"/>
        <v>PAREDE DE SANGUE | D</v>
      </c>
      <c r="E39" s="3" t="s">
        <v>76</v>
      </c>
      <c r="F39" s="3" t="s">
        <v>28</v>
      </c>
      <c r="G39" s="3" t="s">
        <v>214</v>
      </c>
      <c r="H39" s="3" t="s">
        <v>493</v>
      </c>
      <c r="I39" s="3">
        <v>8.0</v>
      </c>
      <c r="J39" s="3" t="s">
        <v>50</v>
      </c>
      <c r="K39" s="3" t="s">
        <v>247</v>
      </c>
      <c r="L39" s="3" t="s">
        <v>70</v>
      </c>
      <c r="M39" s="3" t="s">
        <v>35</v>
      </c>
      <c r="N39" s="3" t="s">
        <v>251</v>
      </c>
      <c r="O39" s="3" t="s">
        <v>131</v>
      </c>
      <c r="P39" s="3" t="s">
        <v>546</v>
      </c>
      <c r="Q39" s="3" t="s">
        <v>549</v>
      </c>
      <c r="R39" s="2"/>
      <c r="S39" s="2"/>
      <c r="T39" s="2"/>
      <c r="U39" s="2"/>
      <c r="V39" s="2"/>
      <c r="W39" s="2"/>
      <c r="X39" s="2"/>
      <c r="Y39" s="2"/>
    </row>
    <row r="40">
      <c r="A40" s="5" t="str">
        <f>IFERROR(__xludf.DUMMYFUNCTION("LEFT(A39, 4) &amp; TEXT(VALUE(REGEXEXTRACT(A39, ""\d+"")) + 1, ""0000"")"),"HEM-0038")</f>
        <v>HEM-0038</v>
      </c>
      <c r="B40" s="3" t="s">
        <v>488</v>
      </c>
      <c r="C40" s="3" t="s">
        <v>545</v>
      </c>
      <c r="D40" s="2" t="str">
        <f t="shared" si="1"/>
        <v>PAREDE DE SANGUE | D</v>
      </c>
      <c r="E40" s="3" t="s">
        <v>76</v>
      </c>
      <c r="F40" s="3" t="s">
        <v>29</v>
      </c>
      <c r="G40" s="3" t="s">
        <v>214</v>
      </c>
      <c r="H40" s="3" t="s">
        <v>493</v>
      </c>
      <c r="I40" s="3">
        <v>8.0</v>
      </c>
      <c r="J40" s="3" t="s">
        <v>50</v>
      </c>
      <c r="K40" s="3" t="s">
        <v>247</v>
      </c>
      <c r="L40" s="3" t="s">
        <v>72</v>
      </c>
      <c r="M40" s="3" t="s">
        <v>35</v>
      </c>
      <c r="N40" s="3" t="s">
        <v>252</v>
      </c>
      <c r="O40" s="3" t="s">
        <v>131</v>
      </c>
      <c r="P40" s="3" t="s">
        <v>546</v>
      </c>
      <c r="Q40" s="3" t="s">
        <v>550</v>
      </c>
      <c r="R40" s="2"/>
      <c r="S40" s="2"/>
      <c r="T40" s="2"/>
      <c r="U40" s="2"/>
      <c r="V40" s="2"/>
      <c r="W40" s="2"/>
      <c r="X40" s="2"/>
      <c r="Y40" s="2"/>
    </row>
    <row r="41">
      <c r="A41" s="5" t="str">
        <f>IFERROR(__xludf.DUMMYFUNCTION("LEFT(A40, 4) &amp; TEXT(VALUE(REGEXEXTRACT(A40, ""\d+"")) + 1, ""0000"")"),"HEM-0039")</f>
        <v>HEM-0039</v>
      </c>
      <c r="B41" s="3" t="s">
        <v>488</v>
      </c>
      <c r="C41" s="3" t="s">
        <v>545</v>
      </c>
      <c r="D41" s="2" t="str">
        <f t="shared" si="1"/>
        <v>PAREDE DE SANGUE | D</v>
      </c>
      <c r="E41" s="3" t="s">
        <v>76</v>
      </c>
      <c r="F41" s="3" t="s">
        <v>30</v>
      </c>
      <c r="G41" s="3" t="s">
        <v>214</v>
      </c>
      <c r="H41" s="3" t="s">
        <v>493</v>
      </c>
      <c r="I41" s="3">
        <v>8.0</v>
      </c>
      <c r="J41" s="3" t="s">
        <v>23</v>
      </c>
      <c r="K41" s="3" t="s">
        <v>247</v>
      </c>
      <c r="L41" s="3" t="s">
        <v>39</v>
      </c>
      <c r="M41" s="3" t="s">
        <v>253</v>
      </c>
      <c r="N41" s="3" t="s">
        <v>254</v>
      </c>
      <c r="O41" s="3" t="s">
        <v>136</v>
      </c>
      <c r="P41" s="3" t="s">
        <v>546</v>
      </c>
      <c r="Q41" s="3" t="s">
        <v>551</v>
      </c>
      <c r="R41" s="2"/>
      <c r="S41" s="2"/>
      <c r="T41" s="2"/>
      <c r="U41" s="2"/>
      <c r="V41" s="2"/>
      <c r="W41" s="2"/>
      <c r="X41" s="2"/>
      <c r="Y41" s="2"/>
    </row>
    <row r="42">
      <c r="A42" s="5" t="str">
        <f>IFERROR(__xludf.DUMMYFUNCTION("LEFT(A41, 4) &amp; TEXT(VALUE(REGEXEXTRACT(A41, ""\d+"")) + 1, ""0000"")"),"HEM-0040")</f>
        <v>HEM-0040</v>
      </c>
      <c r="B42" s="3" t="s">
        <v>488</v>
      </c>
      <c r="C42" s="3" t="s">
        <v>552</v>
      </c>
      <c r="D42" s="2" t="str">
        <f t="shared" si="1"/>
        <v>LÂMINA DE SANGUE | D</v>
      </c>
      <c r="E42" s="3" t="s">
        <v>76</v>
      </c>
      <c r="F42" s="3" t="s">
        <v>21</v>
      </c>
      <c r="G42" s="3" t="s">
        <v>214</v>
      </c>
      <c r="H42" s="3" t="s">
        <v>493</v>
      </c>
      <c r="I42" s="3">
        <v>8.0</v>
      </c>
      <c r="J42" s="3" t="s">
        <v>50</v>
      </c>
      <c r="K42" s="3" t="s">
        <v>24</v>
      </c>
      <c r="L42" s="3" t="s">
        <v>117</v>
      </c>
      <c r="M42" s="3" t="s">
        <v>66</v>
      </c>
      <c r="N42" s="3" t="s">
        <v>276</v>
      </c>
      <c r="O42" s="3" t="s">
        <v>277</v>
      </c>
      <c r="P42" s="3" t="s">
        <v>553</v>
      </c>
      <c r="Q42" s="3" t="s">
        <v>554</v>
      </c>
      <c r="R42" s="2"/>
      <c r="S42" s="2"/>
      <c r="T42" s="2"/>
      <c r="U42" s="2"/>
      <c r="V42" s="2"/>
      <c r="W42" s="2"/>
      <c r="X42" s="2"/>
      <c r="Y42" s="2"/>
    </row>
    <row r="43">
      <c r="A43" s="5" t="str">
        <f>IFERROR(__xludf.DUMMYFUNCTION("LEFT(A42, 4) &amp; TEXT(VALUE(REGEXEXTRACT(A42, ""\d+"")) + 1, ""0000"")"),"HEM-0041")</f>
        <v>HEM-0041</v>
      </c>
      <c r="B43" s="3" t="s">
        <v>488</v>
      </c>
      <c r="C43" s="3" t="s">
        <v>552</v>
      </c>
      <c r="D43" s="2" t="str">
        <f t="shared" si="1"/>
        <v>LÂMINA DE SANGUE | D</v>
      </c>
      <c r="E43" s="3" t="s">
        <v>76</v>
      </c>
      <c r="F43" s="3" t="s">
        <v>27</v>
      </c>
      <c r="G43" s="3" t="s">
        <v>214</v>
      </c>
      <c r="H43" s="3" t="s">
        <v>493</v>
      </c>
      <c r="I43" s="3">
        <v>8.0</v>
      </c>
      <c r="J43" s="3" t="s">
        <v>50</v>
      </c>
      <c r="K43" s="3" t="s">
        <v>24</v>
      </c>
      <c r="L43" s="3" t="s">
        <v>117</v>
      </c>
      <c r="M43" s="3" t="s">
        <v>66</v>
      </c>
      <c r="N43" s="3" t="s">
        <v>280</v>
      </c>
      <c r="O43" s="3" t="s">
        <v>281</v>
      </c>
      <c r="P43" s="3" t="s">
        <v>553</v>
      </c>
      <c r="Q43" s="3" t="s">
        <v>555</v>
      </c>
      <c r="R43" s="2"/>
      <c r="S43" s="2"/>
      <c r="T43" s="2"/>
      <c r="U43" s="2"/>
      <c r="V43" s="2"/>
      <c r="W43" s="2"/>
      <c r="X43" s="2"/>
      <c r="Y43" s="2"/>
    </row>
    <row r="44">
      <c r="A44" s="5" t="str">
        <f>IFERROR(__xludf.DUMMYFUNCTION("LEFT(A43, 4) &amp; TEXT(VALUE(REGEXEXTRACT(A43, ""\d+"")) + 1, ""0000"")"),"HEM-0042")</f>
        <v>HEM-0042</v>
      </c>
      <c r="B44" s="3" t="s">
        <v>488</v>
      </c>
      <c r="C44" s="3" t="s">
        <v>552</v>
      </c>
      <c r="D44" s="2" t="str">
        <f t="shared" si="1"/>
        <v>LÂMINA DE SANGUE | D</v>
      </c>
      <c r="E44" s="3" t="s">
        <v>76</v>
      </c>
      <c r="F44" s="3" t="s">
        <v>28</v>
      </c>
      <c r="G44" s="3" t="s">
        <v>214</v>
      </c>
      <c r="H44" s="3" t="s">
        <v>493</v>
      </c>
      <c r="I44" s="3">
        <v>8.0</v>
      </c>
      <c r="J44" s="3" t="s">
        <v>50</v>
      </c>
      <c r="K44" s="3" t="s">
        <v>24</v>
      </c>
      <c r="L44" s="3" t="s">
        <v>117</v>
      </c>
      <c r="M44" s="3" t="s">
        <v>66</v>
      </c>
      <c r="N44" s="3" t="s">
        <v>282</v>
      </c>
      <c r="O44" s="3" t="s">
        <v>283</v>
      </c>
      <c r="P44" s="3" t="s">
        <v>553</v>
      </c>
      <c r="Q44" s="3" t="s">
        <v>556</v>
      </c>
      <c r="R44" s="2"/>
      <c r="S44" s="2"/>
      <c r="T44" s="2"/>
      <c r="U44" s="2"/>
      <c r="V44" s="2"/>
      <c r="W44" s="2"/>
      <c r="X44" s="2"/>
      <c r="Y44" s="2"/>
    </row>
    <row r="45">
      <c r="A45" s="5" t="str">
        <f>IFERROR(__xludf.DUMMYFUNCTION("LEFT(A44, 4) &amp; TEXT(VALUE(REGEXEXTRACT(A44, ""\d+"")) + 1, ""0000"")"),"HEM-0043")</f>
        <v>HEM-0043</v>
      </c>
      <c r="B45" s="3" t="s">
        <v>488</v>
      </c>
      <c r="C45" s="3" t="s">
        <v>552</v>
      </c>
      <c r="D45" s="2" t="str">
        <f t="shared" si="1"/>
        <v>LÂMINA DE SANGUE | D</v>
      </c>
      <c r="E45" s="3" t="s">
        <v>76</v>
      </c>
      <c r="F45" s="3" t="s">
        <v>29</v>
      </c>
      <c r="G45" s="3" t="s">
        <v>214</v>
      </c>
      <c r="H45" s="3" t="s">
        <v>493</v>
      </c>
      <c r="I45" s="3">
        <v>8.0</v>
      </c>
      <c r="J45" s="3" t="s">
        <v>50</v>
      </c>
      <c r="K45" s="3" t="s">
        <v>24</v>
      </c>
      <c r="L45" s="3" t="s">
        <v>117</v>
      </c>
      <c r="M45" s="3" t="s">
        <v>66</v>
      </c>
      <c r="N45" s="3" t="s">
        <v>284</v>
      </c>
      <c r="O45" s="3" t="s">
        <v>285</v>
      </c>
      <c r="P45" s="3" t="s">
        <v>553</v>
      </c>
      <c r="Q45" s="3" t="s">
        <v>557</v>
      </c>
      <c r="R45" s="2"/>
      <c r="S45" s="2"/>
      <c r="T45" s="2"/>
      <c r="U45" s="2"/>
      <c r="V45" s="2"/>
      <c r="W45" s="2"/>
      <c r="X45" s="2"/>
      <c r="Y45" s="2"/>
    </row>
    <row r="46">
      <c r="A46" s="5" t="str">
        <f>IFERROR(__xludf.DUMMYFUNCTION("LEFT(A45, 4) &amp; TEXT(VALUE(REGEXEXTRACT(A45, ""\d+"")) + 1, ""0000"")"),"HEM-0044")</f>
        <v>HEM-0044</v>
      </c>
      <c r="B46" s="3" t="s">
        <v>488</v>
      </c>
      <c r="C46" s="3" t="s">
        <v>552</v>
      </c>
      <c r="D46" s="2" t="str">
        <f t="shared" si="1"/>
        <v>LÂMINA DE SANGUE | D</v>
      </c>
      <c r="E46" s="3" t="s">
        <v>76</v>
      </c>
      <c r="F46" s="3" t="s">
        <v>30</v>
      </c>
      <c r="G46" s="3" t="s">
        <v>214</v>
      </c>
      <c r="H46" s="3" t="s">
        <v>493</v>
      </c>
      <c r="I46" s="3">
        <v>8.0</v>
      </c>
      <c r="J46" s="3" t="s">
        <v>23</v>
      </c>
      <c r="K46" s="3" t="s">
        <v>24</v>
      </c>
      <c r="L46" s="3" t="s">
        <v>117</v>
      </c>
      <c r="M46" s="3" t="s">
        <v>66</v>
      </c>
      <c r="N46" s="3" t="s">
        <v>286</v>
      </c>
      <c r="O46" s="3" t="s">
        <v>287</v>
      </c>
      <c r="P46" s="3" t="s">
        <v>553</v>
      </c>
      <c r="Q46" s="3" t="s">
        <v>558</v>
      </c>
      <c r="R46" s="2"/>
      <c r="S46" s="2"/>
      <c r="T46" s="2"/>
      <c r="U46" s="2"/>
      <c r="V46" s="2"/>
      <c r="W46" s="2"/>
      <c r="X46" s="2"/>
      <c r="Y46" s="2"/>
    </row>
    <row r="47">
      <c r="A47" s="5" t="str">
        <f>IFERROR(__xludf.DUMMYFUNCTION("LEFT(A46, 4) &amp; TEXT(VALUE(REGEXEXTRACT(A46, ""\d+"")) + 1, ""0000"")"),"HEM-0045")</f>
        <v>HEM-0045</v>
      </c>
      <c r="B47" s="3" t="s">
        <v>488</v>
      </c>
      <c r="C47" s="3" t="s">
        <v>559</v>
      </c>
      <c r="D47" s="2" t="str">
        <f t="shared" si="1"/>
        <v>DONZELA DE FERRO | MD</v>
      </c>
      <c r="E47" s="3" t="s">
        <v>94</v>
      </c>
      <c r="F47" s="3" t="s">
        <v>21</v>
      </c>
      <c r="G47" s="3" t="s">
        <v>214</v>
      </c>
      <c r="H47" s="3" t="s">
        <v>560</v>
      </c>
      <c r="I47" s="3">
        <v>16.0</v>
      </c>
      <c r="J47" s="3" t="s">
        <v>126</v>
      </c>
      <c r="K47" s="3" t="s">
        <v>95</v>
      </c>
      <c r="L47" s="3" t="s">
        <v>65</v>
      </c>
      <c r="M47" s="3" t="s">
        <v>124</v>
      </c>
      <c r="N47" s="3" t="s">
        <v>36</v>
      </c>
      <c r="O47" s="3" t="s">
        <v>126</v>
      </c>
      <c r="P47" s="3" t="s">
        <v>561</v>
      </c>
      <c r="Q47" s="3" t="s">
        <v>562</v>
      </c>
      <c r="R47" s="2"/>
      <c r="S47" s="2"/>
      <c r="T47" s="2"/>
      <c r="U47" s="2"/>
      <c r="V47" s="2"/>
      <c r="W47" s="2"/>
      <c r="X47" s="2"/>
      <c r="Y47" s="2"/>
    </row>
    <row r="48">
      <c r="A48" s="5" t="str">
        <f>IFERROR(__xludf.DUMMYFUNCTION("LEFT(A47, 4) &amp; TEXT(VALUE(REGEXEXTRACT(A47, ""\d+"")) + 1, ""0000"")"),"HEM-0046")</f>
        <v>HEM-0046</v>
      </c>
      <c r="B48" s="3" t="s">
        <v>488</v>
      </c>
      <c r="C48" s="3" t="s">
        <v>559</v>
      </c>
      <c r="D48" s="2" t="str">
        <f t="shared" si="1"/>
        <v>DONZELA DE FERRO | MD</v>
      </c>
      <c r="E48" s="3" t="s">
        <v>94</v>
      </c>
      <c r="F48" s="3" t="s">
        <v>27</v>
      </c>
      <c r="G48" s="3" t="s">
        <v>214</v>
      </c>
      <c r="H48" s="3" t="s">
        <v>560</v>
      </c>
      <c r="I48" s="3">
        <v>16.0</v>
      </c>
      <c r="J48" s="3" t="s">
        <v>126</v>
      </c>
      <c r="K48" s="3" t="s">
        <v>95</v>
      </c>
      <c r="L48" s="3" t="s">
        <v>35</v>
      </c>
      <c r="M48" s="3" t="s">
        <v>124</v>
      </c>
      <c r="N48" s="3" t="s">
        <v>36</v>
      </c>
      <c r="O48" s="3" t="s">
        <v>126</v>
      </c>
      <c r="P48" s="3" t="s">
        <v>563</v>
      </c>
      <c r="Q48" s="3" t="s">
        <v>564</v>
      </c>
      <c r="R48" s="2"/>
      <c r="S48" s="2"/>
      <c r="T48" s="2"/>
      <c r="U48" s="2"/>
      <c r="V48" s="2"/>
      <c r="W48" s="2"/>
      <c r="X48" s="2"/>
      <c r="Y48" s="2"/>
    </row>
    <row r="49">
      <c r="A49" s="5" t="str">
        <f>IFERROR(__xludf.DUMMYFUNCTION("LEFT(A48, 4) &amp; TEXT(VALUE(REGEXEXTRACT(A48, ""\d+"")) + 1, ""0000"")"),"HEM-0047")</f>
        <v>HEM-0047</v>
      </c>
      <c r="B49" s="3" t="s">
        <v>488</v>
      </c>
      <c r="C49" s="3" t="s">
        <v>559</v>
      </c>
      <c r="D49" s="2" t="str">
        <f t="shared" si="1"/>
        <v>DONZELA DE FERRO | MD</v>
      </c>
      <c r="E49" s="3" t="s">
        <v>94</v>
      </c>
      <c r="F49" s="3" t="s">
        <v>28</v>
      </c>
      <c r="G49" s="3" t="s">
        <v>214</v>
      </c>
      <c r="H49" s="3" t="s">
        <v>560</v>
      </c>
      <c r="I49" s="3">
        <v>16.0</v>
      </c>
      <c r="J49" s="3" t="s">
        <v>50</v>
      </c>
      <c r="K49" s="3" t="s">
        <v>95</v>
      </c>
      <c r="L49" s="3" t="s">
        <v>70</v>
      </c>
      <c r="M49" s="3" t="s">
        <v>124</v>
      </c>
      <c r="N49" s="3" t="s">
        <v>40</v>
      </c>
      <c r="O49" s="3" t="s">
        <v>126</v>
      </c>
      <c r="P49" s="3" t="s">
        <v>565</v>
      </c>
      <c r="Q49" s="3" t="s">
        <v>566</v>
      </c>
      <c r="R49" s="2"/>
      <c r="S49" s="2"/>
      <c r="T49" s="2"/>
      <c r="U49" s="2"/>
      <c r="V49" s="2"/>
      <c r="W49" s="2"/>
      <c r="X49" s="2"/>
      <c r="Y49" s="2"/>
    </row>
    <row r="50">
      <c r="A50" s="5" t="str">
        <f>IFERROR(__xludf.DUMMYFUNCTION("LEFT(A49, 4) &amp; TEXT(VALUE(REGEXEXTRACT(A49, ""\d+"")) + 1, ""0000"")"),"HEM-0048")</f>
        <v>HEM-0048</v>
      </c>
      <c r="B50" s="3" t="s">
        <v>488</v>
      </c>
      <c r="C50" s="3" t="s">
        <v>559</v>
      </c>
      <c r="D50" s="2" t="str">
        <f t="shared" si="1"/>
        <v>DONZELA DE FERRO | MD</v>
      </c>
      <c r="E50" s="3" t="s">
        <v>94</v>
      </c>
      <c r="F50" s="3" t="s">
        <v>29</v>
      </c>
      <c r="G50" s="3" t="s">
        <v>214</v>
      </c>
      <c r="H50" s="3" t="s">
        <v>560</v>
      </c>
      <c r="I50" s="3">
        <v>16.0</v>
      </c>
      <c r="J50" s="3" t="s">
        <v>50</v>
      </c>
      <c r="K50" s="3" t="s">
        <v>95</v>
      </c>
      <c r="L50" s="3" t="s">
        <v>72</v>
      </c>
      <c r="M50" s="3" t="s">
        <v>124</v>
      </c>
      <c r="N50" s="3" t="s">
        <v>40</v>
      </c>
      <c r="O50" s="3" t="s">
        <v>131</v>
      </c>
      <c r="P50" s="3" t="s">
        <v>567</v>
      </c>
      <c r="Q50" s="3" t="s">
        <v>568</v>
      </c>
      <c r="R50" s="2"/>
      <c r="S50" s="2"/>
      <c r="T50" s="2"/>
      <c r="U50" s="2"/>
      <c r="V50" s="2"/>
      <c r="W50" s="2"/>
      <c r="X50" s="2"/>
      <c r="Y50" s="2"/>
    </row>
    <row r="51">
      <c r="A51" s="5" t="str">
        <f>IFERROR(__xludf.DUMMYFUNCTION("LEFT(A50, 4) &amp; TEXT(VALUE(REGEXEXTRACT(A50, ""\d+"")) + 1, ""0000"")"),"HEM-0049")</f>
        <v>HEM-0049</v>
      </c>
      <c r="B51" s="3" t="s">
        <v>488</v>
      </c>
      <c r="C51" s="3" t="s">
        <v>559</v>
      </c>
      <c r="D51" s="2" t="str">
        <f t="shared" si="1"/>
        <v>DONZELA DE FERRO | MD</v>
      </c>
      <c r="E51" s="3" t="s">
        <v>94</v>
      </c>
      <c r="F51" s="3" t="s">
        <v>30</v>
      </c>
      <c r="G51" s="3" t="s">
        <v>214</v>
      </c>
      <c r="H51" s="3" t="s">
        <v>560</v>
      </c>
      <c r="I51" s="3">
        <v>16.0</v>
      </c>
      <c r="J51" s="3" t="s">
        <v>23</v>
      </c>
      <c r="K51" s="3" t="s">
        <v>95</v>
      </c>
      <c r="L51" s="3" t="s">
        <v>39</v>
      </c>
      <c r="M51" s="3" t="s">
        <v>124</v>
      </c>
      <c r="N51" s="3" t="s">
        <v>43</v>
      </c>
      <c r="O51" s="3" t="s">
        <v>136</v>
      </c>
      <c r="P51" s="3" t="s">
        <v>569</v>
      </c>
      <c r="Q51" s="3" t="s">
        <v>570</v>
      </c>
      <c r="R51" s="2"/>
      <c r="S51" s="2"/>
      <c r="T51" s="2"/>
      <c r="U51" s="2"/>
      <c r="V51" s="2"/>
      <c r="W51" s="2"/>
      <c r="X51" s="2"/>
      <c r="Y51" s="2"/>
    </row>
    <row r="52">
      <c r="A52" s="5" t="str">
        <f>IFERROR(__xludf.DUMMYFUNCTION("LEFT(A51, 4) &amp; TEXT(VALUE(REGEXEXTRACT(A51, ""\d+"")) + 1, ""0000"")"),"HEM-0050")</f>
        <v>HEM-0050</v>
      </c>
      <c r="B52" s="3" t="s">
        <v>488</v>
      </c>
      <c r="C52" s="3" t="s">
        <v>571</v>
      </c>
      <c r="D52" s="2" t="str">
        <f t="shared" si="1"/>
        <v>TRANSFUSÃO | F</v>
      </c>
      <c r="E52" s="3" t="s">
        <v>20</v>
      </c>
      <c r="F52" s="3" t="s">
        <v>21</v>
      </c>
      <c r="G52" s="3" t="s">
        <v>380</v>
      </c>
      <c r="H52" s="3" t="s">
        <v>493</v>
      </c>
      <c r="I52" s="3">
        <v>2.0</v>
      </c>
      <c r="J52" s="3" t="s">
        <v>23</v>
      </c>
      <c r="K52" s="3" t="s">
        <v>34</v>
      </c>
      <c r="L52" s="11" t="s">
        <v>65</v>
      </c>
      <c r="M52" s="3" t="s">
        <v>289</v>
      </c>
      <c r="N52" s="3" t="s">
        <v>36</v>
      </c>
      <c r="O52" s="3" t="s">
        <v>23</v>
      </c>
      <c r="P52" s="3" t="s">
        <v>572</v>
      </c>
      <c r="Q52" s="3" t="s">
        <v>573</v>
      </c>
      <c r="R52" s="2"/>
      <c r="S52" s="2"/>
      <c r="T52" s="2"/>
      <c r="U52" s="2"/>
      <c r="V52" s="2"/>
      <c r="W52" s="2"/>
      <c r="X52" s="2"/>
      <c r="Y52" s="2"/>
    </row>
    <row r="53">
      <c r="A53" s="5" t="str">
        <f>IFERROR(__xludf.DUMMYFUNCTION("LEFT(A52, 4) &amp; TEXT(VALUE(REGEXEXTRACT(A52, ""\d+"")) + 1, ""0000"")"),"HEM-0051")</f>
        <v>HEM-0051</v>
      </c>
      <c r="B53" s="3" t="s">
        <v>488</v>
      </c>
      <c r="C53" s="3" t="s">
        <v>571</v>
      </c>
      <c r="D53" s="2" t="str">
        <f t="shared" si="1"/>
        <v>TRANSFUSÃO | F</v>
      </c>
      <c r="E53" s="3" t="s">
        <v>20</v>
      </c>
      <c r="F53" s="3" t="s">
        <v>27</v>
      </c>
      <c r="G53" s="3" t="s">
        <v>380</v>
      </c>
      <c r="H53" s="3" t="s">
        <v>493</v>
      </c>
      <c r="I53" s="3">
        <v>2.0</v>
      </c>
      <c r="J53" s="3" t="s">
        <v>23</v>
      </c>
      <c r="K53" s="3" t="s">
        <v>34</v>
      </c>
      <c r="L53" s="3" t="s">
        <v>35</v>
      </c>
      <c r="M53" s="3" t="s">
        <v>65</v>
      </c>
      <c r="N53" s="3" t="s">
        <v>36</v>
      </c>
      <c r="O53" s="3" t="s">
        <v>23</v>
      </c>
      <c r="P53" s="3" t="s">
        <v>574</v>
      </c>
      <c r="Q53" s="3" t="s">
        <v>573</v>
      </c>
      <c r="R53" s="2"/>
      <c r="S53" s="2"/>
      <c r="T53" s="2"/>
      <c r="U53" s="2"/>
      <c r="V53" s="2"/>
      <c r="W53" s="2"/>
      <c r="X53" s="2"/>
      <c r="Y53" s="2"/>
    </row>
    <row r="54">
      <c r="A54" s="5" t="str">
        <f>IFERROR(__xludf.DUMMYFUNCTION("LEFT(A53, 4) &amp; TEXT(VALUE(REGEXEXTRACT(A53, ""\d+"")) + 1, ""0000"")"),"HEM-0052")</f>
        <v>HEM-0052</v>
      </c>
      <c r="B54" s="3" t="s">
        <v>488</v>
      </c>
      <c r="C54" s="3" t="s">
        <v>571</v>
      </c>
      <c r="D54" s="2" t="str">
        <f t="shared" si="1"/>
        <v>TRANSFUSÃO | F</v>
      </c>
      <c r="E54" s="3" t="s">
        <v>20</v>
      </c>
      <c r="F54" s="3" t="s">
        <v>28</v>
      </c>
      <c r="G54" s="3" t="s">
        <v>380</v>
      </c>
      <c r="H54" s="3" t="s">
        <v>493</v>
      </c>
      <c r="I54" s="3">
        <v>2.0</v>
      </c>
      <c r="J54" s="3" t="s">
        <v>23</v>
      </c>
      <c r="K54" s="3" t="s">
        <v>34</v>
      </c>
      <c r="L54" s="3" t="s">
        <v>70</v>
      </c>
      <c r="M54" s="3" t="s">
        <v>324</v>
      </c>
      <c r="N54" s="3" t="s">
        <v>575</v>
      </c>
      <c r="O54" s="3" t="s">
        <v>23</v>
      </c>
      <c r="P54" s="3" t="s">
        <v>576</v>
      </c>
      <c r="Q54" s="3" t="s">
        <v>573</v>
      </c>
      <c r="R54" s="2"/>
      <c r="S54" s="2"/>
      <c r="T54" s="2"/>
      <c r="U54" s="2"/>
      <c r="V54" s="2"/>
      <c r="W54" s="2"/>
      <c r="X54" s="2"/>
      <c r="Y54" s="2"/>
    </row>
    <row r="55">
      <c r="A55" s="5" t="str">
        <f>IFERROR(__xludf.DUMMYFUNCTION("LEFT(A54, 4) &amp; TEXT(VALUE(REGEXEXTRACT(A54, ""\d+"")) + 1, ""0000"")"),"HEM-0053")</f>
        <v>HEM-0053</v>
      </c>
      <c r="B55" s="3" t="s">
        <v>488</v>
      </c>
      <c r="C55" s="3" t="s">
        <v>571</v>
      </c>
      <c r="D55" s="2" t="str">
        <f t="shared" si="1"/>
        <v>TRANSFUSÃO | F</v>
      </c>
      <c r="E55" s="3" t="s">
        <v>20</v>
      </c>
      <c r="F55" s="3" t="s">
        <v>29</v>
      </c>
      <c r="G55" s="3" t="s">
        <v>380</v>
      </c>
      <c r="H55" s="3" t="s">
        <v>493</v>
      </c>
      <c r="I55" s="3">
        <v>2.0</v>
      </c>
      <c r="J55" s="3" t="s">
        <v>23</v>
      </c>
      <c r="K55" s="3" t="s">
        <v>34</v>
      </c>
      <c r="L55" s="3" t="s">
        <v>72</v>
      </c>
      <c r="M55" s="3" t="s">
        <v>35</v>
      </c>
      <c r="N55" s="3" t="s">
        <v>575</v>
      </c>
      <c r="O55" s="3" t="s">
        <v>23</v>
      </c>
      <c r="P55" s="3" t="s">
        <v>577</v>
      </c>
      <c r="Q55" s="3" t="s">
        <v>573</v>
      </c>
      <c r="R55" s="2"/>
      <c r="S55" s="2"/>
      <c r="T55" s="2"/>
      <c r="U55" s="2"/>
      <c r="V55" s="2"/>
      <c r="W55" s="2"/>
      <c r="X55" s="2"/>
      <c r="Y55" s="2"/>
    </row>
    <row r="56">
      <c r="A56" s="5" t="str">
        <f>IFERROR(__xludf.DUMMYFUNCTION("LEFT(A55, 4) &amp; TEXT(VALUE(REGEXEXTRACT(A55, ""\d+"")) + 1, ""0000"")"),"HEM-0054")</f>
        <v>HEM-0054</v>
      </c>
      <c r="B56" s="3" t="s">
        <v>488</v>
      </c>
      <c r="C56" s="3" t="s">
        <v>571</v>
      </c>
      <c r="D56" s="2" t="str">
        <f t="shared" si="1"/>
        <v>TRANSFUSÃO | F</v>
      </c>
      <c r="E56" s="3" t="s">
        <v>20</v>
      </c>
      <c r="F56" s="3" t="s">
        <v>30</v>
      </c>
      <c r="G56" s="3" t="s">
        <v>380</v>
      </c>
      <c r="H56" s="3" t="s">
        <v>493</v>
      </c>
      <c r="I56" s="3">
        <v>2.0</v>
      </c>
      <c r="J56" s="3" t="s">
        <v>23</v>
      </c>
      <c r="K56" s="3" t="s">
        <v>34</v>
      </c>
      <c r="L56" s="3" t="s">
        <v>39</v>
      </c>
      <c r="M56" s="3" t="s">
        <v>510</v>
      </c>
      <c r="N56" s="3" t="s">
        <v>578</v>
      </c>
      <c r="O56" s="3" t="s">
        <v>23</v>
      </c>
      <c r="P56" s="3" t="s">
        <v>579</v>
      </c>
      <c r="Q56" s="3" t="s">
        <v>573</v>
      </c>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 width="8.13"/>
    <col customWidth="1" min="3" max="3" width="9.0"/>
    <col customWidth="1" min="4" max="4" width="13.75"/>
    <col customWidth="1" min="5" max="5" width="9.25"/>
    <col customWidth="1" min="6" max="6" width="7.25"/>
    <col customWidth="1" min="7" max="7" width="9.0"/>
    <col customWidth="1" min="8" max="8" width="11.75"/>
    <col customWidth="1" min="9" max="9" width="6.75"/>
    <col customWidth="1" min="10" max="10" width="9.75"/>
    <col customWidth="1" min="11" max="11" width="10.63"/>
    <col customWidth="1" min="12" max="12" width="7.5"/>
    <col customWidth="1" min="13" max="13" width="10.5"/>
    <col customWidth="1" min="14" max="14" width="16.13"/>
    <col customWidth="1" min="15" max="15" width="9.0"/>
    <col customWidth="1" min="16" max="16" width="40.75"/>
    <col customWidth="1" min="17" max="17" width="46.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9" t="s">
        <v>580</v>
      </c>
      <c r="B2" s="3" t="s">
        <v>581</v>
      </c>
      <c r="C2" s="3" t="s">
        <v>582</v>
      </c>
      <c r="D2" s="2" t="str">
        <f t="shared" ref="D2:D127" si="1">UPPER(CONCATENATE(C2, " | ",E2))</f>
        <v>ACELERAÇÃO | F</v>
      </c>
      <c r="E2" s="3" t="s">
        <v>20</v>
      </c>
      <c r="F2" s="3" t="s">
        <v>21</v>
      </c>
      <c r="G2" s="3" t="s">
        <v>583</v>
      </c>
      <c r="H2" s="3" t="s">
        <v>33</v>
      </c>
      <c r="I2" s="3">
        <v>2.0</v>
      </c>
      <c r="J2" s="3" t="s">
        <v>23</v>
      </c>
      <c r="K2" s="3" t="s">
        <v>95</v>
      </c>
      <c r="L2" s="6" t="s">
        <v>65</v>
      </c>
      <c r="M2" s="3" t="s">
        <v>124</v>
      </c>
      <c r="N2" s="3" t="s">
        <v>125</v>
      </c>
      <c r="O2" s="3" t="s">
        <v>126</v>
      </c>
      <c r="P2" s="3" t="s">
        <v>584</v>
      </c>
      <c r="Q2" s="3"/>
      <c r="R2" s="2"/>
      <c r="S2" s="2"/>
      <c r="T2" s="2"/>
      <c r="U2" s="2"/>
      <c r="V2" s="2"/>
      <c r="W2" s="2"/>
      <c r="X2" s="2"/>
      <c r="Y2" s="2"/>
    </row>
    <row r="3">
      <c r="A3" s="5" t="str">
        <f>IFERROR(__xludf.DUMMYFUNCTION("LEFT(A2, 4) &amp; TEXT(VALUE(REGEXEXTRACT(A2, ""\d+"")) + 1, ""0000"")"),"KIN-0001")</f>
        <v>KIN-0001</v>
      </c>
      <c r="B3" s="3" t="s">
        <v>581</v>
      </c>
      <c r="C3" s="3" t="s">
        <v>582</v>
      </c>
      <c r="D3" s="2" t="str">
        <f t="shared" si="1"/>
        <v>ACELERAÇÃO | F</v>
      </c>
      <c r="E3" s="3" t="s">
        <v>20</v>
      </c>
      <c r="F3" s="3" t="s">
        <v>27</v>
      </c>
      <c r="G3" s="3" t="s">
        <v>583</v>
      </c>
      <c r="H3" s="3" t="s">
        <v>33</v>
      </c>
      <c r="I3" s="3">
        <v>2.0</v>
      </c>
      <c r="J3" s="3" t="s">
        <v>23</v>
      </c>
      <c r="K3" s="3" t="s">
        <v>95</v>
      </c>
      <c r="L3" s="6" t="s">
        <v>35</v>
      </c>
      <c r="M3" s="3" t="s">
        <v>124</v>
      </c>
      <c r="N3" s="3" t="s">
        <v>128</v>
      </c>
      <c r="O3" s="3" t="s">
        <v>126</v>
      </c>
      <c r="P3" s="3" t="s">
        <v>584</v>
      </c>
      <c r="Q3" s="2"/>
      <c r="R3" s="2"/>
      <c r="S3" s="2"/>
      <c r="T3" s="2"/>
      <c r="U3" s="2"/>
      <c r="V3" s="2"/>
      <c r="W3" s="2"/>
      <c r="X3" s="2"/>
      <c r="Y3" s="2"/>
    </row>
    <row r="4">
      <c r="A4" s="5" t="str">
        <f>IFERROR(__xludf.DUMMYFUNCTION("LEFT(A3, 4) &amp; TEXT(VALUE(REGEXEXTRACT(A3, ""\d+"")) + 1, ""0000"")"),"KIN-0002")</f>
        <v>KIN-0002</v>
      </c>
      <c r="B4" s="3" t="s">
        <v>581</v>
      </c>
      <c r="C4" s="3" t="s">
        <v>582</v>
      </c>
      <c r="D4" s="2" t="str">
        <f t="shared" si="1"/>
        <v>ACELERAÇÃO | F</v>
      </c>
      <c r="E4" s="3" t="s">
        <v>20</v>
      </c>
      <c r="F4" s="3" t="s">
        <v>28</v>
      </c>
      <c r="G4" s="3" t="s">
        <v>583</v>
      </c>
      <c r="H4" s="3" t="s">
        <v>33</v>
      </c>
      <c r="I4" s="3">
        <v>2.0</v>
      </c>
      <c r="J4" s="3" t="s">
        <v>23</v>
      </c>
      <c r="K4" s="3" t="s">
        <v>95</v>
      </c>
      <c r="L4" s="6" t="s">
        <v>70</v>
      </c>
      <c r="M4" s="3" t="s">
        <v>124</v>
      </c>
      <c r="N4" s="3" t="s">
        <v>130</v>
      </c>
      <c r="O4" s="3" t="s">
        <v>131</v>
      </c>
      <c r="P4" s="3" t="s">
        <v>585</v>
      </c>
      <c r="Q4" s="2"/>
      <c r="R4" s="2"/>
      <c r="S4" s="2"/>
      <c r="T4" s="2"/>
      <c r="U4" s="2"/>
      <c r="V4" s="2"/>
      <c r="W4" s="2"/>
      <c r="X4" s="2"/>
      <c r="Y4" s="2"/>
    </row>
    <row r="5">
      <c r="A5" s="5" t="str">
        <f>IFERROR(__xludf.DUMMYFUNCTION("LEFT(A4, 4) &amp; TEXT(VALUE(REGEXEXTRACT(A4, ""\d+"")) + 1, ""0000"")"),"KIN-0003")</f>
        <v>KIN-0003</v>
      </c>
      <c r="B5" s="3" t="s">
        <v>581</v>
      </c>
      <c r="C5" s="3" t="s">
        <v>582</v>
      </c>
      <c r="D5" s="2" t="str">
        <f t="shared" si="1"/>
        <v>ACELERAÇÃO | F</v>
      </c>
      <c r="E5" s="3" t="s">
        <v>20</v>
      </c>
      <c r="F5" s="3" t="s">
        <v>29</v>
      </c>
      <c r="G5" s="3" t="s">
        <v>583</v>
      </c>
      <c r="H5" s="3" t="s">
        <v>33</v>
      </c>
      <c r="I5" s="3">
        <v>2.0</v>
      </c>
      <c r="J5" s="3" t="s">
        <v>23</v>
      </c>
      <c r="K5" s="3" t="s">
        <v>95</v>
      </c>
      <c r="L5" s="6" t="s">
        <v>72</v>
      </c>
      <c r="M5" s="3" t="s">
        <v>124</v>
      </c>
      <c r="N5" s="3" t="s">
        <v>133</v>
      </c>
      <c r="O5" s="3" t="s">
        <v>131</v>
      </c>
      <c r="P5" s="3" t="s">
        <v>585</v>
      </c>
      <c r="Q5" s="2"/>
      <c r="R5" s="2"/>
      <c r="S5" s="2"/>
      <c r="T5" s="2"/>
      <c r="U5" s="2"/>
      <c r="V5" s="2"/>
      <c r="W5" s="2"/>
      <c r="X5" s="2"/>
      <c r="Y5" s="2"/>
    </row>
    <row r="6">
      <c r="A6" s="5" t="str">
        <f>IFERROR(__xludf.DUMMYFUNCTION("LEFT(A5, 4) &amp; TEXT(VALUE(REGEXEXTRACT(A5, ""\d+"")) + 1, ""0000"")"),"KIN-0004")</f>
        <v>KIN-0004</v>
      </c>
      <c r="B6" s="3" t="s">
        <v>581</v>
      </c>
      <c r="C6" s="3" t="s">
        <v>582</v>
      </c>
      <c r="D6" s="2" t="str">
        <f t="shared" si="1"/>
        <v>ACELERAÇÃO | F</v>
      </c>
      <c r="E6" s="3" t="s">
        <v>20</v>
      </c>
      <c r="F6" s="3" t="s">
        <v>30</v>
      </c>
      <c r="G6" s="3" t="s">
        <v>583</v>
      </c>
      <c r="H6" s="3" t="s">
        <v>33</v>
      </c>
      <c r="I6" s="3">
        <v>2.0</v>
      </c>
      <c r="J6" s="3" t="s">
        <v>23</v>
      </c>
      <c r="K6" s="3" t="s">
        <v>95</v>
      </c>
      <c r="L6" s="6" t="s">
        <v>39</v>
      </c>
      <c r="M6" s="3" t="s">
        <v>124</v>
      </c>
      <c r="N6" s="3" t="s">
        <v>135</v>
      </c>
      <c r="O6" s="3" t="s">
        <v>136</v>
      </c>
      <c r="P6" s="3" t="s">
        <v>586</v>
      </c>
      <c r="Q6" s="2"/>
      <c r="R6" s="2"/>
      <c r="S6" s="2"/>
      <c r="T6" s="2"/>
      <c r="U6" s="2"/>
      <c r="V6" s="2"/>
      <c r="W6" s="2"/>
      <c r="X6" s="2"/>
      <c r="Y6" s="2"/>
    </row>
    <row r="7">
      <c r="A7" s="5" t="str">
        <f>IFERROR(__xludf.DUMMYFUNCTION("LEFT(A6, 4) &amp; TEXT(VALUE(REGEXEXTRACT(A6, ""\d+"")) + 1, ""0000"")"),"KIN-0005")</f>
        <v>KIN-0005</v>
      </c>
      <c r="B7" s="3" t="s">
        <v>581</v>
      </c>
      <c r="C7" s="3" t="s">
        <v>587</v>
      </c>
      <c r="D7" s="2" t="str">
        <f t="shared" si="1"/>
        <v>DESACELERAR | F</v>
      </c>
      <c r="E7" s="3" t="s">
        <v>20</v>
      </c>
      <c r="F7" s="3" t="s">
        <v>21</v>
      </c>
      <c r="G7" s="3" t="s">
        <v>317</v>
      </c>
      <c r="H7" s="3" t="s">
        <v>33</v>
      </c>
      <c r="I7" s="3">
        <v>2.0</v>
      </c>
      <c r="J7" s="3" t="s">
        <v>23</v>
      </c>
      <c r="K7" s="3" t="s">
        <v>95</v>
      </c>
      <c r="L7" s="6" t="s">
        <v>65</v>
      </c>
      <c r="M7" s="3" t="s">
        <v>124</v>
      </c>
      <c r="N7" s="3" t="s">
        <v>125</v>
      </c>
      <c r="O7" s="3" t="s">
        <v>126</v>
      </c>
      <c r="P7" s="3" t="s">
        <v>588</v>
      </c>
      <c r="Q7" s="3" t="s">
        <v>589</v>
      </c>
      <c r="R7" s="2"/>
      <c r="S7" s="2"/>
      <c r="T7" s="2"/>
      <c r="U7" s="2"/>
      <c r="V7" s="2"/>
      <c r="W7" s="2"/>
      <c r="X7" s="2"/>
      <c r="Y7" s="2"/>
    </row>
    <row r="8">
      <c r="A8" s="5" t="str">
        <f>IFERROR(__xludf.DUMMYFUNCTION("LEFT(A7, 4) &amp; TEXT(VALUE(REGEXEXTRACT(A7, ""\d+"")) + 1, ""0000"")"),"KIN-0006")</f>
        <v>KIN-0006</v>
      </c>
      <c r="B8" s="3" t="s">
        <v>581</v>
      </c>
      <c r="C8" s="3" t="s">
        <v>587</v>
      </c>
      <c r="D8" s="2" t="str">
        <f t="shared" si="1"/>
        <v>DESACELERAR | F</v>
      </c>
      <c r="E8" s="3" t="s">
        <v>20</v>
      </c>
      <c r="F8" s="3" t="s">
        <v>27</v>
      </c>
      <c r="G8" s="3" t="s">
        <v>317</v>
      </c>
      <c r="H8" s="3" t="s">
        <v>33</v>
      </c>
      <c r="I8" s="3">
        <v>2.0</v>
      </c>
      <c r="J8" s="3" t="s">
        <v>23</v>
      </c>
      <c r="K8" s="3" t="s">
        <v>95</v>
      </c>
      <c r="L8" s="6" t="s">
        <v>35</v>
      </c>
      <c r="M8" s="3" t="s">
        <v>124</v>
      </c>
      <c r="N8" s="3" t="s">
        <v>128</v>
      </c>
      <c r="O8" s="3" t="s">
        <v>126</v>
      </c>
      <c r="P8" s="3" t="s">
        <v>588</v>
      </c>
      <c r="Q8" s="2"/>
      <c r="R8" s="2"/>
      <c r="S8" s="2"/>
      <c r="T8" s="2"/>
      <c r="U8" s="2"/>
      <c r="V8" s="2"/>
      <c r="W8" s="2"/>
      <c r="X8" s="2"/>
      <c r="Y8" s="2"/>
    </row>
    <row r="9">
      <c r="A9" s="5" t="str">
        <f>IFERROR(__xludf.DUMMYFUNCTION("LEFT(A8, 4) &amp; TEXT(VALUE(REGEXEXTRACT(A8, ""\d+"")) + 1, ""0000"")"),"KIN-0007")</f>
        <v>KIN-0007</v>
      </c>
      <c r="B9" s="3" t="s">
        <v>581</v>
      </c>
      <c r="C9" s="3" t="s">
        <v>587</v>
      </c>
      <c r="D9" s="2" t="str">
        <f t="shared" si="1"/>
        <v>DESACELERAR | F</v>
      </c>
      <c r="E9" s="3" t="s">
        <v>20</v>
      </c>
      <c r="F9" s="3" t="s">
        <v>28</v>
      </c>
      <c r="G9" s="3" t="s">
        <v>317</v>
      </c>
      <c r="H9" s="3" t="s">
        <v>33</v>
      </c>
      <c r="I9" s="3">
        <v>2.0</v>
      </c>
      <c r="J9" s="3" t="s">
        <v>23</v>
      </c>
      <c r="K9" s="3" t="s">
        <v>95</v>
      </c>
      <c r="L9" s="6" t="s">
        <v>70</v>
      </c>
      <c r="M9" s="3" t="s">
        <v>124</v>
      </c>
      <c r="N9" s="3" t="s">
        <v>130</v>
      </c>
      <c r="O9" s="3" t="s">
        <v>131</v>
      </c>
      <c r="P9" s="3" t="s">
        <v>590</v>
      </c>
      <c r="Q9" s="2"/>
      <c r="R9" s="2"/>
      <c r="S9" s="2"/>
      <c r="T9" s="2"/>
      <c r="U9" s="2"/>
      <c r="V9" s="2"/>
      <c r="W9" s="2"/>
      <c r="X9" s="2"/>
      <c r="Y9" s="2"/>
    </row>
    <row r="10">
      <c r="A10" s="5" t="str">
        <f>IFERROR(__xludf.DUMMYFUNCTION("LEFT(A9, 4) &amp; TEXT(VALUE(REGEXEXTRACT(A9, ""\d+"")) + 1, ""0000"")"),"KIN-0008")</f>
        <v>KIN-0008</v>
      </c>
      <c r="B10" s="3" t="s">
        <v>581</v>
      </c>
      <c r="C10" s="3" t="s">
        <v>587</v>
      </c>
      <c r="D10" s="2" t="str">
        <f t="shared" si="1"/>
        <v>DESACELERAR | F</v>
      </c>
      <c r="E10" s="3" t="s">
        <v>20</v>
      </c>
      <c r="F10" s="3" t="s">
        <v>29</v>
      </c>
      <c r="G10" s="3" t="s">
        <v>317</v>
      </c>
      <c r="H10" s="3" t="s">
        <v>33</v>
      </c>
      <c r="I10" s="3">
        <v>2.0</v>
      </c>
      <c r="J10" s="3" t="s">
        <v>23</v>
      </c>
      <c r="K10" s="3" t="s">
        <v>95</v>
      </c>
      <c r="L10" s="6" t="s">
        <v>72</v>
      </c>
      <c r="M10" s="3" t="s">
        <v>124</v>
      </c>
      <c r="N10" s="3" t="s">
        <v>133</v>
      </c>
      <c r="O10" s="3" t="s">
        <v>131</v>
      </c>
      <c r="P10" s="3" t="s">
        <v>590</v>
      </c>
      <c r="Q10" s="2"/>
      <c r="R10" s="2"/>
      <c r="S10" s="2"/>
      <c r="T10" s="2"/>
      <c r="U10" s="2"/>
      <c r="V10" s="2"/>
      <c r="W10" s="2"/>
      <c r="X10" s="2"/>
      <c r="Y10" s="2"/>
    </row>
    <row r="11">
      <c r="A11" s="5" t="str">
        <f>IFERROR(__xludf.DUMMYFUNCTION("LEFT(A10, 4) &amp; TEXT(VALUE(REGEXEXTRACT(A10, ""\d+"")) + 1, ""0000"")"),"KIN-0009")</f>
        <v>KIN-0009</v>
      </c>
      <c r="B11" s="3" t="s">
        <v>581</v>
      </c>
      <c r="C11" s="3" t="s">
        <v>587</v>
      </c>
      <c r="D11" s="2" t="str">
        <f t="shared" si="1"/>
        <v>DESACELERAR | F</v>
      </c>
      <c r="E11" s="3" t="s">
        <v>20</v>
      </c>
      <c r="F11" s="3" t="s">
        <v>30</v>
      </c>
      <c r="G11" s="3" t="s">
        <v>317</v>
      </c>
      <c r="H11" s="3" t="s">
        <v>33</v>
      </c>
      <c r="I11" s="3">
        <v>2.0</v>
      </c>
      <c r="J11" s="3" t="s">
        <v>23</v>
      </c>
      <c r="K11" s="3" t="s">
        <v>95</v>
      </c>
      <c r="L11" s="6" t="s">
        <v>39</v>
      </c>
      <c r="M11" s="3" t="s">
        <v>124</v>
      </c>
      <c r="N11" s="3" t="s">
        <v>135</v>
      </c>
      <c r="O11" s="3" t="s">
        <v>136</v>
      </c>
      <c r="P11" s="3" t="s">
        <v>591</v>
      </c>
      <c r="Q11" s="2"/>
      <c r="R11" s="2"/>
      <c r="S11" s="2"/>
      <c r="T11" s="2"/>
      <c r="U11" s="2"/>
      <c r="V11" s="2"/>
      <c r="W11" s="2"/>
      <c r="X11" s="2"/>
      <c r="Y11" s="2"/>
    </row>
    <row r="12">
      <c r="A12" s="5" t="str">
        <f>IFERROR(__xludf.DUMMYFUNCTION("LEFT(A11, 4) &amp; TEXT(VALUE(REGEXEXTRACT(A11, ""\d+"")) + 1, ""0000"")"),"KIN-0010")</f>
        <v>KIN-0010</v>
      </c>
      <c r="B12" s="3" t="s">
        <v>581</v>
      </c>
      <c r="C12" s="3" t="s">
        <v>592</v>
      </c>
      <c r="D12" s="2" t="str">
        <f t="shared" si="1"/>
        <v>PÉS ENRAIZADOS | M</v>
      </c>
      <c r="E12" s="3" t="s">
        <v>48</v>
      </c>
      <c r="F12" s="3" t="s">
        <v>21</v>
      </c>
      <c r="G12" s="3" t="s">
        <v>317</v>
      </c>
      <c r="H12" s="3" t="s">
        <v>33</v>
      </c>
      <c r="I12" s="3">
        <v>4.0</v>
      </c>
      <c r="J12" s="3" t="s">
        <v>23</v>
      </c>
      <c r="K12" s="3" t="s">
        <v>34</v>
      </c>
      <c r="L12" s="7" t="s">
        <v>65</v>
      </c>
      <c r="M12" s="3" t="s">
        <v>66</v>
      </c>
      <c r="N12" s="3" t="s">
        <v>36</v>
      </c>
      <c r="O12" s="3" t="s">
        <v>126</v>
      </c>
      <c r="P12" s="3" t="s">
        <v>593</v>
      </c>
      <c r="Q12" s="2"/>
      <c r="R12" s="2"/>
      <c r="S12" s="2"/>
      <c r="T12" s="2"/>
      <c r="U12" s="2"/>
      <c r="V12" s="2"/>
      <c r="W12" s="2"/>
      <c r="X12" s="2"/>
      <c r="Y12" s="2"/>
    </row>
    <row r="13">
      <c r="A13" s="5" t="str">
        <f>IFERROR(__xludf.DUMMYFUNCTION("LEFT(A12, 4) &amp; TEXT(VALUE(REGEXEXTRACT(A12, ""\d+"")) + 1, ""0000"")"),"KIN-0011")</f>
        <v>KIN-0011</v>
      </c>
      <c r="B13" s="3" t="s">
        <v>581</v>
      </c>
      <c r="C13" s="3" t="s">
        <v>592</v>
      </c>
      <c r="D13" s="2" t="str">
        <f t="shared" si="1"/>
        <v>PÉS ENRAIZADOS | M</v>
      </c>
      <c r="E13" s="3" t="s">
        <v>48</v>
      </c>
      <c r="F13" s="3" t="s">
        <v>27</v>
      </c>
      <c r="G13" s="3" t="s">
        <v>317</v>
      </c>
      <c r="H13" s="3" t="s">
        <v>33</v>
      </c>
      <c r="I13" s="3">
        <v>4.0</v>
      </c>
      <c r="J13" s="3" t="s">
        <v>23</v>
      </c>
      <c r="K13" s="3" t="s">
        <v>34</v>
      </c>
      <c r="L13" s="3" t="s">
        <v>35</v>
      </c>
      <c r="M13" s="3" t="s">
        <v>66</v>
      </c>
      <c r="N13" s="3" t="s">
        <v>36</v>
      </c>
      <c r="O13" s="3" t="s">
        <v>126</v>
      </c>
      <c r="P13" s="3" t="s">
        <v>594</v>
      </c>
      <c r="Q13" s="2"/>
      <c r="R13" s="2"/>
      <c r="S13" s="2"/>
      <c r="T13" s="2"/>
      <c r="U13" s="2"/>
      <c r="V13" s="2"/>
      <c r="W13" s="2"/>
      <c r="X13" s="2"/>
      <c r="Y13" s="2"/>
    </row>
    <row r="14">
      <c r="A14" s="5" t="str">
        <f>IFERROR(__xludf.DUMMYFUNCTION("LEFT(A13, 4) &amp; TEXT(VALUE(REGEXEXTRACT(A13, ""\d+"")) + 1, ""0000"")"),"KIN-0012")</f>
        <v>KIN-0012</v>
      </c>
      <c r="B14" s="3" t="s">
        <v>581</v>
      </c>
      <c r="C14" s="3" t="s">
        <v>592</v>
      </c>
      <c r="D14" s="2" t="str">
        <f t="shared" si="1"/>
        <v>PÉS ENRAIZADOS | M</v>
      </c>
      <c r="E14" s="3" t="s">
        <v>48</v>
      </c>
      <c r="F14" s="3" t="s">
        <v>28</v>
      </c>
      <c r="G14" s="3" t="s">
        <v>317</v>
      </c>
      <c r="H14" s="3" t="s">
        <v>33</v>
      </c>
      <c r="I14" s="3">
        <v>4.0</v>
      </c>
      <c r="J14" s="3" t="s">
        <v>23</v>
      </c>
      <c r="K14" s="3" t="s">
        <v>34</v>
      </c>
      <c r="L14" s="3" t="s">
        <v>70</v>
      </c>
      <c r="M14" s="3" t="s">
        <v>66</v>
      </c>
      <c r="N14" s="3" t="s">
        <v>40</v>
      </c>
      <c r="O14" s="3" t="s">
        <v>131</v>
      </c>
      <c r="P14" s="3" t="s">
        <v>595</v>
      </c>
      <c r="Q14" s="2"/>
      <c r="R14" s="2"/>
      <c r="S14" s="2"/>
      <c r="T14" s="2"/>
      <c r="U14" s="2"/>
      <c r="V14" s="2"/>
      <c r="W14" s="2"/>
      <c r="X14" s="2"/>
      <c r="Y14" s="2"/>
    </row>
    <row r="15">
      <c r="A15" s="5" t="str">
        <f>IFERROR(__xludf.DUMMYFUNCTION("LEFT(A14, 4) &amp; TEXT(VALUE(REGEXEXTRACT(A14, ""\d+"")) + 1, ""0000"")"),"KIN-0013")</f>
        <v>KIN-0013</v>
      </c>
      <c r="B15" s="3" t="s">
        <v>581</v>
      </c>
      <c r="C15" s="3" t="s">
        <v>592</v>
      </c>
      <c r="D15" s="2" t="str">
        <f t="shared" si="1"/>
        <v>PÉS ENRAIZADOS | M</v>
      </c>
      <c r="E15" s="3" t="s">
        <v>48</v>
      </c>
      <c r="F15" s="3" t="s">
        <v>29</v>
      </c>
      <c r="G15" s="3" t="s">
        <v>317</v>
      </c>
      <c r="H15" s="3" t="s">
        <v>33</v>
      </c>
      <c r="I15" s="3">
        <v>4.0</v>
      </c>
      <c r="J15" s="3" t="s">
        <v>23</v>
      </c>
      <c r="K15" s="3" t="s">
        <v>34</v>
      </c>
      <c r="L15" s="3" t="s">
        <v>72</v>
      </c>
      <c r="M15" s="3" t="s">
        <v>66</v>
      </c>
      <c r="N15" s="3" t="s">
        <v>40</v>
      </c>
      <c r="O15" s="3" t="s">
        <v>131</v>
      </c>
      <c r="P15" s="3" t="s">
        <v>596</v>
      </c>
      <c r="Q15" s="2"/>
      <c r="R15" s="2"/>
      <c r="S15" s="2"/>
      <c r="T15" s="2"/>
      <c r="U15" s="2"/>
      <c r="V15" s="2"/>
      <c r="W15" s="2"/>
      <c r="X15" s="2"/>
      <c r="Y15" s="2"/>
    </row>
    <row r="16">
      <c r="A16" s="5" t="str">
        <f>IFERROR(__xludf.DUMMYFUNCTION("LEFT(A15, 4) &amp; TEXT(VALUE(REGEXEXTRACT(A15, ""\d+"")) + 1, ""0000"")"),"KIN-0014")</f>
        <v>KIN-0014</v>
      </c>
      <c r="B16" s="3" t="s">
        <v>581</v>
      </c>
      <c r="C16" s="3" t="s">
        <v>592</v>
      </c>
      <c r="D16" s="2" t="str">
        <f t="shared" si="1"/>
        <v>PÉS ENRAIZADOS | M</v>
      </c>
      <c r="E16" s="3" t="s">
        <v>48</v>
      </c>
      <c r="F16" s="3" t="s">
        <v>30</v>
      </c>
      <c r="G16" s="3" t="s">
        <v>317</v>
      </c>
      <c r="H16" s="3" t="s">
        <v>33</v>
      </c>
      <c r="I16" s="3">
        <v>4.0</v>
      </c>
      <c r="J16" s="3" t="s">
        <v>23</v>
      </c>
      <c r="K16" s="3" t="s">
        <v>34</v>
      </c>
      <c r="L16" s="3" t="s">
        <v>39</v>
      </c>
      <c r="M16" s="3" t="s">
        <v>66</v>
      </c>
      <c r="N16" s="3" t="s">
        <v>43</v>
      </c>
      <c r="O16" s="3" t="s">
        <v>136</v>
      </c>
      <c r="P16" s="3" t="s">
        <v>597</v>
      </c>
      <c r="Q16" s="2"/>
      <c r="R16" s="2"/>
      <c r="S16" s="2"/>
      <c r="T16" s="2"/>
      <c r="U16" s="2"/>
      <c r="V16" s="2"/>
      <c r="W16" s="2"/>
      <c r="X16" s="2"/>
      <c r="Y16" s="2"/>
    </row>
    <row r="17">
      <c r="A17" s="5" t="str">
        <f>IFERROR(__xludf.DUMMYFUNCTION("LEFT(A16, 4) &amp; TEXT(VALUE(REGEXEXTRACT(A16, ""\d+"")) + 1, ""0000"")"),"KIN-0015")</f>
        <v>KIN-0015</v>
      </c>
      <c r="B17" s="3" t="s">
        <v>581</v>
      </c>
      <c r="C17" s="3" t="s">
        <v>598</v>
      </c>
      <c r="D17" s="2" t="str">
        <f t="shared" si="1"/>
        <v>COLA | D</v>
      </c>
      <c r="E17" s="3" t="s">
        <v>76</v>
      </c>
      <c r="F17" s="3" t="s">
        <v>21</v>
      </c>
      <c r="G17" s="3" t="s">
        <v>317</v>
      </c>
      <c r="H17" s="3" t="s">
        <v>599</v>
      </c>
      <c r="I17" s="3">
        <v>8.0</v>
      </c>
      <c r="J17" s="3" t="s">
        <v>50</v>
      </c>
      <c r="K17" s="3" t="s">
        <v>34</v>
      </c>
      <c r="L17" s="7" t="s">
        <v>65</v>
      </c>
      <c r="M17" s="3" t="s">
        <v>289</v>
      </c>
      <c r="N17" s="3" t="s">
        <v>125</v>
      </c>
      <c r="O17" s="3" t="s">
        <v>126</v>
      </c>
      <c r="P17" s="13" t="s">
        <v>600</v>
      </c>
      <c r="Q17" s="3" t="s">
        <v>601</v>
      </c>
      <c r="R17" s="2"/>
      <c r="S17" s="2"/>
      <c r="T17" s="2"/>
      <c r="U17" s="2"/>
      <c r="V17" s="2"/>
      <c r="W17" s="2"/>
      <c r="X17" s="2"/>
      <c r="Y17" s="2"/>
    </row>
    <row r="18">
      <c r="A18" s="5" t="str">
        <f>IFERROR(__xludf.DUMMYFUNCTION("LEFT(A17, 4) &amp; TEXT(VALUE(REGEXEXTRACT(A17, ""\d+"")) + 1, ""0000"")"),"KIN-0016")</f>
        <v>KIN-0016</v>
      </c>
      <c r="B18" s="3" t="s">
        <v>581</v>
      </c>
      <c r="C18" s="3" t="s">
        <v>598</v>
      </c>
      <c r="D18" s="2" t="str">
        <f t="shared" si="1"/>
        <v>COLA | D</v>
      </c>
      <c r="E18" s="3" t="s">
        <v>76</v>
      </c>
      <c r="F18" s="3" t="s">
        <v>27</v>
      </c>
      <c r="G18" s="3" t="s">
        <v>317</v>
      </c>
      <c r="H18" s="3" t="s">
        <v>599</v>
      </c>
      <c r="I18" s="3">
        <v>8.0</v>
      </c>
      <c r="J18" s="3" t="s">
        <v>50</v>
      </c>
      <c r="K18" s="3" t="s">
        <v>34</v>
      </c>
      <c r="L18" s="3" t="s">
        <v>35</v>
      </c>
      <c r="M18" s="3" t="s">
        <v>65</v>
      </c>
      <c r="N18" s="3" t="s">
        <v>128</v>
      </c>
      <c r="O18" s="3" t="s">
        <v>126</v>
      </c>
      <c r="P18" s="13" t="s">
        <v>600</v>
      </c>
      <c r="Q18" s="3" t="s">
        <v>601</v>
      </c>
      <c r="R18" s="2"/>
      <c r="S18" s="2"/>
      <c r="T18" s="2"/>
      <c r="U18" s="2"/>
      <c r="V18" s="2"/>
      <c r="W18" s="2"/>
      <c r="X18" s="2"/>
      <c r="Y18" s="2"/>
    </row>
    <row r="19">
      <c r="A19" s="5" t="str">
        <f>IFERROR(__xludf.DUMMYFUNCTION("LEFT(A18, 4) &amp; TEXT(VALUE(REGEXEXTRACT(A18, ""\d+"")) + 1, ""0000"")"),"KIN-0017")</f>
        <v>KIN-0017</v>
      </c>
      <c r="B19" s="3" t="s">
        <v>581</v>
      </c>
      <c r="C19" s="3" t="s">
        <v>598</v>
      </c>
      <c r="D19" s="2" t="str">
        <f t="shared" si="1"/>
        <v>COLA | D</v>
      </c>
      <c r="E19" s="3" t="s">
        <v>76</v>
      </c>
      <c r="F19" s="3" t="s">
        <v>28</v>
      </c>
      <c r="G19" s="3" t="s">
        <v>317</v>
      </c>
      <c r="H19" s="3" t="s">
        <v>599</v>
      </c>
      <c r="I19" s="3">
        <v>8.0</v>
      </c>
      <c r="J19" s="3" t="s">
        <v>50</v>
      </c>
      <c r="K19" s="3" t="s">
        <v>34</v>
      </c>
      <c r="L19" s="3" t="s">
        <v>70</v>
      </c>
      <c r="M19" s="3" t="s">
        <v>324</v>
      </c>
      <c r="N19" s="3" t="s">
        <v>130</v>
      </c>
      <c r="O19" s="3" t="s">
        <v>131</v>
      </c>
      <c r="P19" s="13" t="s">
        <v>600</v>
      </c>
      <c r="Q19" s="3" t="s">
        <v>601</v>
      </c>
      <c r="R19" s="2"/>
      <c r="S19" s="2"/>
      <c r="T19" s="2"/>
      <c r="U19" s="2"/>
      <c r="V19" s="2"/>
      <c r="W19" s="2"/>
      <c r="X19" s="2"/>
      <c r="Y19" s="2"/>
    </row>
    <row r="20">
      <c r="A20" s="5" t="str">
        <f>IFERROR(__xludf.DUMMYFUNCTION("LEFT(A19, 4) &amp; TEXT(VALUE(REGEXEXTRACT(A19, ""\d+"")) + 1, ""0000"")"),"KIN-0018")</f>
        <v>KIN-0018</v>
      </c>
      <c r="B20" s="3" t="s">
        <v>581</v>
      </c>
      <c r="C20" s="3" t="s">
        <v>598</v>
      </c>
      <c r="D20" s="2" t="str">
        <f t="shared" si="1"/>
        <v>COLA | D</v>
      </c>
      <c r="E20" s="3" t="s">
        <v>76</v>
      </c>
      <c r="F20" s="3" t="s">
        <v>29</v>
      </c>
      <c r="G20" s="3" t="s">
        <v>317</v>
      </c>
      <c r="H20" s="3" t="s">
        <v>599</v>
      </c>
      <c r="I20" s="3">
        <v>8.0</v>
      </c>
      <c r="J20" s="3" t="s">
        <v>50</v>
      </c>
      <c r="K20" s="3" t="s">
        <v>34</v>
      </c>
      <c r="L20" s="3" t="s">
        <v>72</v>
      </c>
      <c r="M20" s="3" t="s">
        <v>35</v>
      </c>
      <c r="N20" s="3" t="s">
        <v>133</v>
      </c>
      <c r="O20" s="3" t="s">
        <v>131</v>
      </c>
      <c r="P20" s="13" t="s">
        <v>600</v>
      </c>
      <c r="Q20" s="3" t="s">
        <v>601</v>
      </c>
      <c r="R20" s="2"/>
      <c r="S20" s="2"/>
      <c r="T20" s="2"/>
      <c r="U20" s="2"/>
      <c r="V20" s="2"/>
      <c r="W20" s="2"/>
      <c r="X20" s="2"/>
      <c r="Y20" s="2"/>
    </row>
    <row r="21">
      <c r="A21" s="5" t="str">
        <f>IFERROR(__xludf.DUMMYFUNCTION("LEFT(A20, 4) &amp; TEXT(VALUE(REGEXEXTRACT(A20, ""\d+"")) + 1, ""0000"")"),"KIN-0019")</f>
        <v>KIN-0019</v>
      </c>
      <c r="B21" s="3" t="s">
        <v>581</v>
      </c>
      <c r="C21" s="3" t="s">
        <v>598</v>
      </c>
      <c r="D21" s="2" t="str">
        <f t="shared" si="1"/>
        <v>COLA | D</v>
      </c>
      <c r="E21" s="3" t="s">
        <v>76</v>
      </c>
      <c r="F21" s="3" t="s">
        <v>30</v>
      </c>
      <c r="G21" s="3" t="s">
        <v>317</v>
      </c>
      <c r="H21" s="3" t="s">
        <v>599</v>
      </c>
      <c r="I21" s="3">
        <v>4.0</v>
      </c>
      <c r="J21" s="3" t="s">
        <v>23</v>
      </c>
      <c r="K21" s="3" t="s">
        <v>34</v>
      </c>
      <c r="L21" s="3" t="s">
        <v>39</v>
      </c>
      <c r="M21" s="3" t="s">
        <v>510</v>
      </c>
      <c r="N21" s="3" t="s">
        <v>135</v>
      </c>
      <c r="O21" s="3" t="s">
        <v>136</v>
      </c>
      <c r="P21" s="13" t="s">
        <v>600</v>
      </c>
      <c r="Q21" s="3" t="s">
        <v>601</v>
      </c>
      <c r="R21" s="2"/>
      <c r="S21" s="2"/>
      <c r="T21" s="2"/>
      <c r="U21" s="2"/>
      <c r="V21" s="2"/>
      <c r="W21" s="2"/>
      <c r="X21" s="2"/>
      <c r="Y21" s="2"/>
    </row>
    <row r="22">
      <c r="A22" s="5" t="str">
        <f>IFERROR(__xludf.DUMMYFUNCTION("LEFT(A21, 4) &amp; TEXT(VALUE(REGEXEXTRACT(A21, ""\d+"")) + 1, ""0000"")"),"KIN-0020")</f>
        <v>KIN-0020</v>
      </c>
      <c r="B22" s="3" t="s">
        <v>581</v>
      </c>
      <c r="C22" s="3" t="s">
        <v>602</v>
      </c>
      <c r="D22" s="2" t="str">
        <f t="shared" si="1"/>
        <v>GRAXA | D</v>
      </c>
      <c r="E22" s="3" t="s">
        <v>76</v>
      </c>
      <c r="F22" s="3" t="s">
        <v>21</v>
      </c>
      <c r="G22" s="3" t="s">
        <v>317</v>
      </c>
      <c r="H22" s="3" t="s">
        <v>599</v>
      </c>
      <c r="I22" s="3">
        <v>8.0</v>
      </c>
      <c r="J22" s="3" t="s">
        <v>50</v>
      </c>
      <c r="K22" s="3" t="s">
        <v>34</v>
      </c>
      <c r="L22" s="7" t="s">
        <v>65</v>
      </c>
      <c r="M22" s="3" t="s">
        <v>289</v>
      </c>
      <c r="N22" s="3" t="s">
        <v>125</v>
      </c>
      <c r="O22" s="3" t="s">
        <v>126</v>
      </c>
      <c r="P22" s="3" t="s">
        <v>603</v>
      </c>
      <c r="Q22" s="3" t="s">
        <v>604</v>
      </c>
      <c r="R22" s="2"/>
      <c r="S22" s="2"/>
      <c r="T22" s="2"/>
      <c r="U22" s="2"/>
      <c r="V22" s="2"/>
      <c r="W22" s="2"/>
      <c r="X22" s="2"/>
      <c r="Y22" s="2"/>
    </row>
    <row r="23">
      <c r="A23" s="5" t="str">
        <f>IFERROR(__xludf.DUMMYFUNCTION("LEFT(A22, 4) &amp; TEXT(VALUE(REGEXEXTRACT(A22, ""\d+"")) + 1, ""0000"")"),"KIN-0021")</f>
        <v>KIN-0021</v>
      </c>
      <c r="B23" s="3" t="s">
        <v>581</v>
      </c>
      <c r="C23" s="3" t="s">
        <v>602</v>
      </c>
      <c r="D23" s="2" t="str">
        <f t="shared" si="1"/>
        <v>GRAXA | D</v>
      </c>
      <c r="E23" s="3" t="s">
        <v>76</v>
      </c>
      <c r="F23" s="3" t="s">
        <v>27</v>
      </c>
      <c r="G23" s="3" t="s">
        <v>317</v>
      </c>
      <c r="H23" s="3" t="s">
        <v>599</v>
      </c>
      <c r="I23" s="3">
        <v>8.0</v>
      </c>
      <c r="J23" s="3" t="s">
        <v>50</v>
      </c>
      <c r="K23" s="3" t="s">
        <v>34</v>
      </c>
      <c r="L23" s="3" t="s">
        <v>35</v>
      </c>
      <c r="M23" s="3" t="s">
        <v>65</v>
      </c>
      <c r="N23" s="3" t="s">
        <v>128</v>
      </c>
      <c r="O23" s="3" t="s">
        <v>126</v>
      </c>
      <c r="P23" s="3" t="s">
        <v>605</v>
      </c>
      <c r="Q23" s="3" t="s">
        <v>604</v>
      </c>
      <c r="R23" s="2"/>
      <c r="S23" s="2"/>
      <c r="T23" s="2"/>
      <c r="U23" s="2"/>
      <c r="V23" s="2"/>
      <c r="W23" s="2"/>
      <c r="X23" s="2"/>
      <c r="Y23" s="2"/>
    </row>
    <row r="24">
      <c r="A24" s="5" t="str">
        <f>IFERROR(__xludf.DUMMYFUNCTION("LEFT(A23, 4) &amp; TEXT(VALUE(REGEXEXTRACT(A23, ""\d+"")) + 1, ""0000"")"),"KIN-0022")</f>
        <v>KIN-0022</v>
      </c>
      <c r="B24" s="3" t="s">
        <v>581</v>
      </c>
      <c r="C24" s="3" t="s">
        <v>602</v>
      </c>
      <c r="D24" s="2" t="str">
        <f t="shared" si="1"/>
        <v>GRAXA | D</v>
      </c>
      <c r="E24" s="3" t="s">
        <v>76</v>
      </c>
      <c r="F24" s="3" t="s">
        <v>28</v>
      </c>
      <c r="G24" s="3" t="s">
        <v>317</v>
      </c>
      <c r="H24" s="3" t="s">
        <v>599</v>
      </c>
      <c r="I24" s="3">
        <v>8.0</v>
      </c>
      <c r="J24" s="3" t="s">
        <v>50</v>
      </c>
      <c r="K24" s="3" t="s">
        <v>34</v>
      </c>
      <c r="L24" s="3" t="s">
        <v>70</v>
      </c>
      <c r="M24" s="3" t="s">
        <v>324</v>
      </c>
      <c r="N24" s="3" t="s">
        <v>130</v>
      </c>
      <c r="O24" s="3" t="s">
        <v>131</v>
      </c>
      <c r="P24" s="3" t="s">
        <v>605</v>
      </c>
      <c r="Q24" s="3" t="s">
        <v>604</v>
      </c>
      <c r="R24" s="2"/>
      <c r="S24" s="2"/>
      <c r="T24" s="2"/>
      <c r="U24" s="2"/>
      <c r="V24" s="2"/>
      <c r="W24" s="2"/>
      <c r="X24" s="2"/>
      <c r="Y24" s="2"/>
    </row>
    <row r="25">
      <c r="A25" s="5" t="str">
        <f>IFERROR(__xludf.DUMMYFUNCTION("LEFT(A24, 4) &amp; TEXT(VALUE(REGEXEXTRACT(A24, ""\d+"")) + 1, ""0000"")"),"KIN-0023")</f>
        <v>KIN-0023</v>
      </c>
      <c r="B25" s="3" t="s">
        <v>581</v>
      </c>
      <c r="C25" s="3" t="s">
        <v>602</v>
      </c>
      <c r="D25" s="2" t="str">
        <f t="shared" si="1"/>
        <v>GRAXA | D</v>
      </c>
      <c r="E25" s="3" t="s">
        <v>76</v>
      </c>
      <c r="F25" s="3" t="s">
        <v>29</v>
      </c>
      <c r="G25" s="3" t="s">
        <v>317</v>
      </c>
      <c r="H25" s="3" t="s">
        <v>599</v>
      </c>
      <c r="I25" s="3">
        <v>8.0</v>
      </c>
      <c r="J25" s="3" t="s">
        <v>50</v>
      </c>
      <c r="K25" s="3" t="s">
        <v>34</v>
      </c>
      <c r="L25" s="3" t="s">
        <v>72</v>
      </c>
      <c r="M25" s="3" t="s">
        <v>35</v>
      </c>
      <c r="N25" s="3" t="s">
        <v>133</v>
      </c>
      <c r="O25" s="3" t="s">
        <v>131</v>
      </c>
      <c r="P25" s="3" t="s">
        <v>605</v>
      </c>
      <c r="Q25" s="3" t="s">
        <v>604</v>
      </c>
      <c r="R25" s="2"/>
      <c r="S25" s="2"/>
      <c r="T25" s="2"/>
      <c r="U25" s="2"/>
      <c r="V25" s="2"/>
      <c r="W25" s="2"/>
      <c r="X25" s="2"/>
      <c r="Y25" s="2"/>
    </row>
    <row r="26">
      <c r="A26" s="5" t="str">
        <f>IFERROR(__xludf.DUMMYFUNCTION("LEFT(A25, 4) &amp; TEXT(VALUE(REGEXEXTRACT(A25, ""\d+"")) + 1, ""0000"")"),"KIN-0024")</f>
        <v>KIN-0024</v>
      </c>
      <c r="B26" s="3" t="s">
        <v>581</v>
      </c>
      <c r="C26" s="3" t="s">
        <v>602</v>
      </c>
      <c r="D26" s="2" t="str">
        <f t="shared" si="1"/>
        <v>GRAXA | D</v>
      </c>
      <c r="E26" s="3" t="s">
        <v>76</v>
      </c>
      <c r="F26" s="3" t="s">
        <v>30</v>
      </c>
      <c r="G26" s="3" t="s">
        <v>317</v>
      </c>
      <c r="H26" s="3" t="s">
        <v>599</v>
      </c>
      <c r="I26" s="3">
        <v>4.0</v>
      </c>
      <c r="J26" s="3" t="s">
        <v>23</v>
      </c>
      <c r="K26" s="3" t="s">
        <v>34</v>
      </c>
      <c r="L26" s="3" t="s">
        <v>39</v>
      </c>
      <c r="M26" s="3" t="s">
        <v>510</v>
      </c>
      <c r="N26" s="3" t="s">
        <v>135</v>
      </c>
      <c r="O26" s="3" t="s">
        <v>136</v>
      </c>
      <c r="P26" s="3" t="s">
        <v>605</v>
      </c>
      <c r="Q26" s="3" t="s">
        <v>604</v>
      </c>
      <c r="R26" s="2"/>
      <c r="S26" s="2"/>
      <c r="T26" s="2"/>
      <c r="U26" s="2"/>
      <c r="V26" s="2"/>
      <c r="W26" s="2"/>
      <c r="X26" s="2"/>
      <c r="Y26" s="2"/>
    </row>
    <row r="27">
      <c r="A27" s="5" t="str">
        <f>IFERROR(__xludf.DUMMYFUNCTION("LEFT(A26, 4) &amp; TEXT(VALUE(REGEXEXTRACT(A26, ""\d+"")) + 1, ""0000"")"),"KIN-0025")</f>
        <v>KIN-0025</v>
      </c>
      <c r="B27" s="3" t="s">
        <v>581</v>
      </c>
      <c r="C27" s="3" t="s">
        <v>606</v>
      </c>
      <c r="D27" s="2" t="str">
        <f t="shared" si="1"/>
        <v>CARGA LEVE | F</v>
      </c>
      <c r="E27" s="3" t="s">
        <v>20</v>
      </c>
      <c r="F27" s="3" t="s">
        <v>21</v>
      </c>
      <c r="G27" s="3" t="s">
        <v>77</v>
      </c>
      <c r="H27" s="3" t="s">
        <v>33</v>
      </c>
      <c r="I27" s="3" t="s">
        <v>117</v>
      </c>
      <c r="J27" s="3" t="s">
        <v>23</v>
      </c>
      <c r="K27" s="3" t="s">
        <v>95</v>
      </c>
      <c r="L27" s="6" t="s">
        <v>65</v>
      </c>
      <c r="M27" s="3" t="s">
        <v>124</v>
      </c>
      <c r="N27" s="3" t="s">
        <v>607</v>
      </c>
      <c r="O27" s="3" t="s">
        <v>126</v>
      </c>
      <c r="P27" s="3" t="s">
        <v>608</v>
      </c>
      <c r="Q27" s="2"/>
      <c r="R27" s="2"/>
      <c r="S27" s="2"/>
      <c r="T27" s="2"/>
      <c r="U27" s="2"/>
      <c r="V27" s="2"/>
      <c r="W27" s="2"/>
      <c r="X27" s="2"/>
      <c r="Y27" s="2"/>
    </row>
    <row r="28">
      <c r="A28" s="5" t="str">
        <f>IFERROR(__xludf.DUMMYFUNCTION("LEFT(A27, 4) &amp; TEXT(VALUE(REGEXEXTRACT(A27, ""\d+"")) + 1, ""0000"")"),"KIN-0026")</f>
        <v>KIN-0026</v>
      </c>
      <c r="B28" s="3" t="s">
        <v>581</v>
      </c>
      <c r="C28" s="3" t="s">
        <v>606</v>
      </c>
      <c r="D28" s="2" t="str">
        <f t="shared" si="1"/>
        <v>CARGA LEVE | F</v>
      </c>
      <c r="E28" s="3" t="s">
        <v>20</v>
      </c>
      <c r="F28" s="3" t="s">
        <v>27</v>
      </c>
      <c r="G28" s="3" t="s">
        <v>77</v>
      </c>
      <c r="H28" s="3" t="s">
        <v>33</v>
      </c>
      <c r="I28" s="3" t="s">
        <v>117</v>
      </c>
      <c r="J28" s="3" t="s">
        <v>23</v>
      </c>
      <c r="K28" s="3" t="s">
        <v>95</v>
      </c>
      <c r="L28" s="6" t="s">
        <v>35</v>
      </c>
      <c r="M28" s="3" t="s">
        <v>124</v>
      </c>
      <c r="N28" s="3" t="s">
        <v>607</v>
      </c>
      <c r="O28" s="3" t="s">
        <v>126</v>
      </c>
      <c r="P28" s="3" t="s">
        <v>608</v>
      </c>
      <c r="Q28" s="2"/>
      <c r="R28" s="2"/>
      <c r="S28" s="2"/>
      <c r="T28" s="2"/>
      <c r="U28" s="2"/>
      <c r="V28" s="2"/>
      <c r="W28" s="2"/>
      <c r="X28" s="2"/>
      <c r="Y28" s="2"/>
    </row>
    <row r="29">
      <c r="A29" s="5" t="str">
        <f>IFERROR(__xludf.DUMMYFUNCTION("LEFT(A28, 4) &amp; TEXT(VALUE(REGEXEXTRACT(A28, ""\d+"")) + 1, ""0000"")"),"KIN-0027")</f>
        <v>KIN-0027</v>
      </c>
      <c r="B29" s="3" t="s">
        <v>581</v>
      </c>
      <c r="C29" s="3" t="s">
        <v>606</v>
      </c>
      <c r="D29" s="2" t="str">
        <f t="shared" si="1"/>
        <v>CARGA LEVE | F</v>
      </c>
      <c r="E29" s="3" t="s">
        <v>20</v>
      </c>
      <c r="F29" s="3" t="s">
        <v>28</v>
      </c>
      <c r="G29" s="3" t="s">
        <v>77</v>
      </c>
      <c r="H29" s="3" t="s">
        <v>33</v>
      </c>
      <c r="I29" s="3" t="s">
        <v>117</v>
      </c>
      <c r="J29" s="3" t="s">
        <v>23</v>
      </c>
      <c r="K29" s="3" t="s">
        <v>95</v>
      </c>
      <c r="L29" s="6" t="s">
        <v>70</v>
      </c>
      <c r="M29" s="3" t="s">
        <v>124</v>
      </c>
      <c r="N29" s="3" t="s">
        <v>607</v>
      </c>
      <c r="O29" s="3" t="s">
        <v>131</v>
      </c>
      <c r="P29" s="3" t="s">
        <v>608</v>
      </c>
      <c r="Q29" s="2"/>
      <c r="R29" s="2"/>
      <c r="S29" s="2"/>
      <c r="T29" s="2"/>
      <c r="U29" s="2"/>
      <c r="V29" s="2"/>
      <c r="W29" s="2"/>
      <c r="X29" s="2"/>
      <c r="Y29" s="2"/>
    </row>
    <row r="30">
      <c r="A30" s="5" t="str">
        <f>IFERROR(__xludf.DUMMYFUNCTION("LEFT(A29, 4) &amp; TEXT(VALUE(REGEXEXTRACT(A29, ""\d+"")) + 1, ""0000"")"),"KIN-0028")</f>
        <v>KIN-0028</v>
      </c>
      <c r="B30" s="3" t="s">
        <v>581</v>
      </c>
      <c r="C30" s="3" t="s">
        <v>606</v>
      </c>
      <c r="D30" s="2" t="str">
        <f t="shared" si="1"/>
        <v>CARGA LEVE | F</v>
      </c>
      <c r="E30" s="3" t="s">
        <v>20</v>
      </c>
      <c r="F30" s="3" t="s">
        <v>29</v>
      </c>
      <c r="G30" s="3" t="s">
        <v>77</v>
      </c>
      <c r="H30" s="3" t="s">
        <v>33</v>
      </c>
      <c r="I30" s="3" t="s">
        <v>117</v>
      </c>
      <c r="J30" s="3" t="s">
        <v>23</v>
      </c>
      <c r="K30" s="3" t="s">
        <v>95</v>
      </c>
      <c r="L30" s="6" t="s">
        <v>72</v>
      </c>
      <c r="M30" s="3" t="s">
        <v>124</v>
      </c>
      <c r="N30" s="3" t="s">
        <v>607</v>
      </c>
      <c r="O30" s="3" t="s">
        <v>131</v>
      </c>
      <c r="P30" s="3" t="s">
        <v>608</v>
      </c>
      <c r="Q30" s="2"/>
      <c r="R30" s="2"/>
      <c r="S30" s="2"/>
      <c r="T30" s="2"/>
      <c r="U30" s="2"/>
      <c r="V30" s="2"/>
      <c r="W30" s="2"/>
      <c r="X30" s="2"/>
      <c r="Y30" s="2"/>
    </row>
    <row r="31">
      <c r="A31" s="5" t="str">
        <f>IFERROR(__xludf.DUMMYFUNCTION("LEFT(A30, 4) &amp; TEXT(VALUE(REGEXEXTRACT(A30, ""\d+"")) + 1, ""0000"")"),"KIN-0029")</f>
        <v>KIN-0029</v>
      </c>
      <c r="B31" s="3" t="s">
        <v>581</v>
      </c>
      <c r="C31" s="3" t="s">
        <v>606</v>
      </c>
      <c r="D31" s="2" t="str">
        <f t="shared" si="1"/>
        <v>CARGA LEVE | F</v>
      </c>
      <c r="E31" s="3" t="s">
        <v>20</v>
      </c>
      <c r="F31" s="3" t="s">
        <v>30</v>
      </c>
      <c r="G31" s="3" t="s">
        <v>77</v>
      </c>
      <c r="H31" s="3" t="s">
        <v>33</v>
      </c>
      <c r="I31" s="3" t="s">
        <v>117</v>
      </c>
      <c r="J31" s="3" t="s">
        <v>23</v>
      </c>
      <c r="K31" s="3" t="s">
        <v>95</v>
      </c>
      <c r="L31" s="6" t="s">
        <v>39</v>
      </c>
      <c r="M31" s="3" t="s">
        <v>124</v>
      </c>
      <c r="N31" s="3" t="s">
        <v>607</v>
      </c>
      <c r="O31" s="3" t="s">
        <v>136</v>
      </c>
      <c r="P31" s="3" t="s">
        <v>608</v>
      </c>
      <c r="Q31" s="2"/>
      <c r="R31" s="2"/>
      <c r="S31" s="2"/>
      <c r="T31" s="2"/>
      <c r="U31" s="2"/>
      <c r="V31" s="2"/>
      <c r="W31" s="2"/>
      <c r="X31" s="2"/>
      <c r="Y31" s="2"/>
    </row>
    <row r="32">
      <c r="A32" s="5" t="str">
        <f>IFERROR(__xludf.DUMMYFUNCTION("LEFT(A31, 4) &amp; TEXT(VALUE(REGEXEXTRACT(A31, ""\d+"")) + 1, ""0000"")"),"KIN-0030")</f>
        <v>KIN-0030</v>
      </c>
      <c r="B32" s="3" t="s">
        <v>581</v>
      </c>
      <c r="C32" s="3" t="s">
        <v>609</v>
      </c>
      <c r="D32" s="2" t="str">
        <f t="shared" si="1"/>
        <v>CARGA PESADA | F</v>
      </c>
      <c r="E32" s="3" t="s">
        <v>20</v>
      </c>
      <c r="F32" s="3" t="s">
        <v>21</v>
      </c>
      <c r="G32" s="3" t="s">
        <v>77</v>
      </c>
      <c r="H32" s="3" t="s">
        <v>33</v>
      </c>
      <c r="I32" s="3" t="s">
        <v>117</v>
      </c>
      <c r="J32" s="3" t="s">
        <v>23</v>
      </c>
      <c r="K32" s="3" t="s">
        <v>95</v>
      </c>
      <c r="L32" s="6" t="s">
        <v>65</v>
      </c>
      <c r="M32" s="3" t="s">
        <v>124</v>
      </c>
      <c r="N32" s="3" t="s">
        <v>610</v>
      </c>
      <c r="O32" s="3" t="s">
        <v>126</v>
      </c>
      <c r="P32" s="3" t="s">
        <v>611</v>
      </c>
      <c r="Q32" s="2"/>
      <c r="R32" s="2"/>
      <c r="S32" s="2"/>
      <c r="T32" s="2"/>
      <c r="U32" s="2"/>
      <c r="V32" s="2"/>
      <c r="W32" s="2"/>
      <c r="X32" s="2"/>
      <c r="Y32" s="2"/>
    </row>
    <row r="33">
      <c r="A33" s="5" t="str">
        <f>IFERROR(__xludf.DUMMYFUNCTION("LEFT(A32, 4) &amp; TEXT(VALUE(REGEXEXTRACT(A32, ""\d+"")) + 1, ""0000"")"),"KIN-0031")</f>
        <v>KIN-0031</v>
      </c>
      <c r="B33" s="3" t="s">
        <v>581</v>
      </c>
      <c r="C33" s="3" t="s">
        <v>609</v>
      </c>
      <c r="D33" s="2" t="str">
        <f t="shared" si="1"/>
        <v>CARGA PESADA | F</v>
      </c>
      <c r="E33" s="3" t="s">
        <v>20</v>
      </c>
      <c r="F33" s="3" t="s">
        <v>27</v>
      </c>
      <c r="G33" s="3" t="s">
        <v>77</v>
      </c>
      <c r="H33" s="3" t="s">
        <v>33</v>
      </c>
      <c r="I33" s="3" t="s">
        <v>117</v>
      </c>
      <c r="J33" s="3" t="s">
        <v>23</v>
      </c>
      <c r="K33" s="3" t="s">
        <v>95</v>
      </c>
      <c r="L33" s="6" t="s">
        <v>35</v>
      </c>
      <c r="M33" s="3" t="s">
        <v>124</v>
      </c>
      <c r="N33" s="3" t="s">
        <v>610</v>
      </c>
      <c r="O33" s="3" t="s">
        <v>126</v>
      </c>
      <c r="P33" s="3" t="s">
        <v>611</v>
      </c>
      <c r="Q33" s="2"/>
      <c r="R33" s="2"/>
      <c r="S33" s="2"/>
      <c r="T33" s="2"/>
      <c r="U33" s="2"/>
      <c r="V33" s="2"/>
      <c r="W33" s="2"/>
      <c r="X33" s="2"/>
      <c r="Y33" s="2"/>
    </row>
    <row r="34">
      <c r="A34" s="5" t="str">
        <f>IFERROR(__xludf.DUMMYFUNCTION("LEFT(A33, 4) &amp; TEXT(VALUE(REGEXEXTRACT(A33, ""\d+"")) + 1, ""0000"")"),"KIN-0032")</f>
        <v>KIN-0032</v>
      </c>
      <c r="B34" s="3" t="s">
        <v>581</v>
      </c>
      <c r="C34" s="3" t="s">
        <v>609</v>
      </c>
      <c r="D34" s="2" t="str">
        <f t="shared" si="1"/>
        <v>CARGA PESADA | F</v>
      </c>
      <c r="E34" s="3" t="s">
        <v>20</v>
      </c>
      <c r="F34" s="3" t="s">
        <v>28</v>
      </c>
      <c r="G34" s="3" t="s">
        <v>77</v>
      </c>
      <c r="H34" s="3" t="s">
        <v>33</v>
      </c>
      <c r="I34" s="3" t="s">
        <v>117</v>
      </c>
      <c r="J34" s="3" t="s">
        <v>23</v>
      </c>
      <c r="K34" s="3" t="s">
        <v>95</v>
      </c>
      <c r="L34" s="6" t="s">
        <v>70</v>
      </c>
      <c r="M34" s="3" t="s">
        <v>124</v>
      </c>
      <c r="N34" s="3" t="s">
        <v>610</v>
      </c>
      <c r="O34" s="3" t="s">
        <v>131</v>
      </c>
      <c r="P34" s="3" t="s">
        <v>611</v>
      </c>
      <c r="Q34" s="2"/>
      <c r="R34" s="2"/>
      <c r="S34" s="2"/>
      <c r="T34" s="2"/>
      <c r="U34" s="2"/>
      <c r="V34" s="2"/>
      <c r="W34" s="2"/>
      <c r="X34" s="2"/>
      <c r="Y34" s="2"/>
    </row>
    <row r="35">
      <c r="A35" s="5" t="str">
        <f>IFERROR(__xludf.DUMMYFUNCTION("LEFT(A34, 4) &amp; TEXT(VALUE(REGEXEXTRACT(A34, ""\d+"")) + 1, ""0000"")"),"KIN-0033")</f>
        <v>KIN-0033</v>
      </c>
      <c r="B35" s="3" t="s">
        <v>581</v>
      </c>
      <c r="C35" s="3" t="s">
        <v>609</v>
      </c>
      <c r="D35" s="2" t="str">
        <f t="shared" si="1"/>
        <v>CARGA PESADA | F</v>
      </c>
      <c r="E35" s="3" t="s">
        <v>20</v>
      </c>
      <c r="F35" s="3" t="s">
        <v>29</v>
      </c>
      <c r="G35" s="3" t="s">
        <v>77</v>
      </c>
      <c r="H35" s="3" t="s">
        <v>33</v>
      </c>
      <c r="I35" s="3" t="s">
        <v>117</v>
      </c>
      <c r="J35" s="3" t="s">
        <v>23</v>
      </c>
      <c r="K35" s="3" t="s">
        <v>95</v>
      </c>
      <c r="L35" s="6" t="s">
        <v>72</v>
      </c>
      <c r="M35" s="3" t="s">
        <v>124</v>
      </c>
      <c r="N35" s="3" t="s">
        <v>610</v>
      </c>
      <c r="O35" s="3" t="s">
        <v>131</v>
      </c>
      <c r="P35" s="3" t="s">
        <v>611</v>
      </c>
      <c r="Q35" s="2"/>
      <c r="R35" s="2"/>
      <c r="S35" s="2"/>
      <c r="T35" s="2"/>
      <c r="U35" s="2"/>
      <c r="V35" s="2"/>
      <c r="W35" s="2"/>
      <c r="X35" s="2"/>
      <c r="Y35" s="2"/>
    </row>
    <row r="36">
      <c r="A36" s="5" t="str">
        <f>IFERROR(__xludf.DUMMYFUNCTION("LEFT(A35, 4) &amp; TEXT(VALUE(REGEXEXTRACT(A35, ""\d+"")) + 1, ""0000"")"),"KIN-0034")</f>
        <v>KIN-0034</v>
      </c>
      <c r="B36" s="3" t="s">
        <v>581</v>
      </c>
      <c r="C36" s="3" t="s">
        <v>609</v>
      </c>
      <c r="D36" s="2" t="str">
        <f t="shared" si="1"/>
        <v>CARGA PESADA | F</v>
      </c>
      <c r="E36" s="3" t="s">
        <v>20</v>
      </c>
      <c r="F36" s="3" t="s">
        <v>30</v>
      </c>
      <c r="G36" s="3" t="s">
        <v>77</v>
      </c>
      <c r="H36" s="3" t="s">
        <v>33</v>
      </c>
      <c r="I36" s="3" t="s">
        <v>117</v>
      </c>
      <c r="J36" s="3" t="s">
        <v>23</v>
      </c>
      <c r="K36" s="3" t="s">
        <v>95</v>
      </c>
      <c r="L36" s="6" t="s">
        <v>39</v>
      </c>
      <c r="M36" s="3" t="s">
        <v>124</v>
      </c>
      <c r="N36" s="3" t="s">
        <v>610</v>
      </c>
      <c r="O36" s="3" t="s">
        <v>136</v>
      </c>
      <c r="P36" s="3" t="s">
        <v>611</v>
      </c>
      <c r="Q36" s="2"/>
      <c r="R36" s="2"/>
      <c r="S36" s="2"/>
      <c r="T36" s="2"/>
      <c r="U36" s="2"/>
      <c r="V36" s="2"/>
      <c r="W36" s="2"/>
      <c r="X36" s="2"/>
      <c r="Y36" s="2"/>
    </row>
    <row r="37">
      <c r="A37" s="5" t="str">
        <f>IFERROR(__xludf.DUMMYFUNCTION("LEFT(A36, 4) &amp; TEXT(VALUE(REGEXEXTRACT(A36, ""\d+"")) + 1, ""0000"")"),"KIN-0035")</f>
        <v>KIN-0035</v>
      </c>
      <c r="B37" s="3" t="s">
        <v>581</v>
      </c>
      <c r="C37" s="3" t="s">
        <v>612</v>
      </c>
      <c r="D37" s="2" t="str">
        <f t="shared" si="1"/>
        <v>QUEDA LIVRE | M</v>
      </c>
      <c r="E37" s="3" t="s">
        <v>48</v>
      </c>
      <c r="F37" s="3" t="s">
        <v>21</v>
      </c>
      <c r="G37" s="3" t="s">
        <v>77</v>
      </c>
      <c r="H37" s="3" t="s">
        <v>33</v>
      </c>
      <c r="I37" s="3">
        <v>4.0</v>
      </c>
      <c r="J37" s="3" t="s">
        <v>23</v>
      </c>
      <c r="K37" s="3" t="s">
        <v>95</v>
      </c>
      <c r="L37" s="6" t="s">
        <v>65</v>
      </c>
      <c r="M37" s="3" t="s">
        <v>124</v>
      </c>
      <c r="N37" s="2"/>
      <c r="O37" s="3" t="s">
        <v>613</v>
      </c>
      <c r="P37" s="3" t="s">
        <v>614</v>
      </c>
      <c r="Q37" s="3" t="s">
        <v>615</v>
      </c>
      <c r="R37" s="2"/>
      <c r="S37" s="2"/>
      <c r="T37" s="2"/>
      <c r="U37" s="2"/>
      <c r="V37" s="2"/>
      <c r="W37" s="2"/>
      <c r="X37" s="2"/>
      <c r="Y37" s="2"/>
    </row>
    <row r="38">
      <c r="A38" s="5" t="str">
        <f>IFERROR(__xludf.DUMMYFUNCTION("LEFT(A37, 4) &amp; TEXT(VALUE(REGEXEXTRACT(A37, ""\d+"")) + 1, ""0000"")"),"KIN-0036")</f>
        <v>KIN-0036</v>
      </c>
      <c r="B38" s="3" t="s">
        <v>581</v>
      </c>
      <c r="C38" s="3" t="s">
        <v>612</v>
      </c>
      <c r="D38" s="2" t="str">
        <f t="shared" si="1"/>
        <v>QUEDA LIVRE | M</v>
      </c>
      <c r="E38" s="3" t="s">
        <v>48</v>
      </c>
      <c r="F38" s="3" t="s">
        <v>27</v>
      </c>
      <c r="G38" s="3" t="s">
        <v>77</v>
      </c>
      <c r="H38" s="3" t="s">
        <v>33</v>
      </c>
      <c r="I38" s="3">
        <v>4.0</v>
      </c>
      <c r="J38" s="3" t="s">
        <v>23</v>
      </c>
      <c r="K38" s="3" t="s">
        <v>95</v>
      </c>
      <c r="L38" s="6" t="s">
        <v>35</v>
      </c>
      <c r="M38" s="3" t="s">
        <v>124</v>
      </c>
      <c r="N38" s="2"/>
      <c r="O38" s="3" t="s">
        <v>613</v>
      </c>
      <c r="P38" s="3" t="s">
        <v>616</v>
      </c>
      <c r="Q38" s="3" t="s">
        <v>617</v>
      </c>
      <c r="R38" s="2"/>
      <c r="S38" s="2"/>
      <c r="T38" s="2"/>
      <c r="U38" s="2"/>
      <c r="V38" s="2"/>
      <c r="W38" s="2"/>
      <c r="X38" s="2"/>
      <c r="Y38" s="2"/>
    </row>
    <row r="39">
      <c r="A39" s="5" t="str">
        <f>IFERROR(__xludf.DUMMYFUNCTION("LEFT(A38, 4) &amp; TEXT(VALUE(REGEXEXTRACT(A38, ""\d+"")) + 1, ""0000"")"),"KIN-0037")</f>
        <v>KIN-0037</v>
      </c>
      <c r="B39" s="3" t="s">
        <v>581</v>
      </c>
      <c r="C39" s="3" t="s">
        <v>612</v>
      </c>
      <c r="D39" s="2" t="str">
        <f t="shared" si="1"/>
        <v>QUEDA LIVRE | M</v>
      </c>
      <c r="E39" s="3" t="s">
        <v>48</v>
      </c>
      <c r="F39" s="3" t="s">
        <v>28</v>
      </c>
      <c r="G39" s="3" t="s">
        <v>77</v>
      </c>
      <c r="H39" s="3" t="s">
        <v>33</v>
      </c>
      <c r="I39" s="3">
        <v>4.0</v>
      </c>
      <c r="J39" s="3" t="s">
        <v>23</v>
      </c>
      <c r="K39" s="3" t="s">
        <v>95</v>
      </c>
      <c r="L39" s="6" t="s">
        <v>70</v>
      </c>
      <c r="M39" s="3" t="s">
        <v>124</v>
      </c>
      <c r="N39" s="2"/>
      <c r="O39" s="3" t="s">
        <v>613</v>
      </c>
      <c r="P39" s="3" t="s">
        <v>618</v>
      </c>
      <c r="Q39" s="3" t="s">
        <v>619</v>
      </c>
      <c r="R39" s="2"/>
      <c r="S39" s="2"/>
      <c r="T39" s="2"/>
      <c r="U39" s="2"/>
      <c r="V39" s="2"/>
      <c r="W39" s="2"/>
      <c r="X39" s="2"/>
      <c r="Y39" s="2"/>
    </row>
    <row r="40">
      <c r="A40" s="5" t="str">
        <f>IFERROR(__xludf.DUMMYFUNCTION("LEFT(A39, 4) &amp; TEXT(VALUE(REGEXEXTRACT(A39, ""\d+"")) + 1, ""0000"")"),"KIN-0038")</f>
        <v>KIN-0038</v>
      </c>
      <c r="B40" s="3" t="s">
        <v>581</v>
      </c>
      <c r="C40" s="3" t="s">
        <v>612</v>
      </c>
      <c r="D40" s="2" t="str">
        <f t="shared" si="1"/>
        <v>QUEDA LIVRE | M</v>
      </c>
      <c r="E40" s="3" t="s">
        <v>48</v>
      </c>
      <c r="F40" s="3" t="s">
        <v>29</v>
      </c>
      <c r="G40" s="3" t="s">
        <v>77</v>
      </c>
      <c r="H40" s="3" t="s">
        <v>33</v>
      </c>
      <c r="I40" s="3">
        <v>4.0</v>
      </c>
      <c r="J40" s="3" t="s">
        <v>23</v>
      </c>
      <c r="K40" s="3" t="s">
        <v>95</v>
      </c>
      <c r="L40" s="6" t="s">
        <v>72</v>
      </c>
      <c r="M40" s="3" t="s">
        <v>124</v>
      </c>
      <c r="N40" s="2"/>
      <c r="O40" s="3" t="s">
        <v>613</v>
      </c>
      <c r="P40" s="3" t="s">
        <v>620</v>
      </c>
      <c r="Q40" s="3" t="s">
        <v>621</v>
      </c>
      <c r="R40" s="2"/>
      <c r="S40" s="2"/>
      <c r="T40" s="2"/>
      <c r="U40" s="2"/>
      <c r="V40" s="2"/>
      <c r="W40" s="2"/>
      <c r="X40" s="2"/>
      <c r="Y40" s="2"/>
    </row>
    <row r="41">
      <c r="A41" s="5" t="str">
        <f>IFERROR(__xludf.DUMMYFUNCTION("LEFT(A40, 4) &amp; TEXT(VALUE(REGEXEXTRACT(A40, ""\d+"")) + 1, ""0000"")"),"KIN-0039")</f>
        <v>KIN-0039</v>
      </c>
      <c r="B41" s="3" t="s">
        <v>581</v>
      </c>
      <c r="C41" s="3" t="s">
        <v>612</v>
      </c>
      <c r="D41" s="2" t="str">
        <f t="shared" si="1"/>
        <v>QUEDA LIVRE | M</v>
      </c>
      <c r="E41" s="3" t="s">
        <v>48</v>
      </c>
      <c r="F41" s="3" t="s">
        <v>30</v>
      </c>
      <c r="G41" s="3" t="s">
        <v>77</v>
      </c>
      <c r="H41" s="3" t="s">
        <v>33</v>
      </c>
      <c r="I41" s="3">
        <v>4.0</v>
      </c>
      <c r="J41" s="3" t="s">
        <v>23</v>
      </c>
      <c r="K41" s="3" t="s">
        <v>95</v>
      </c>
      <c r="L41" s="6" t="s">
        <v>39</v>
      </c>
      <c r="M41" s="3" t="s">
        <v>124</v>
      </c>
      <c r="N41" s="2"/>
      <c r="O41" s="3" t="s">
        <v>613</v>
      </c>
      <c r="P41" s="3" t="s">
        <v>622</v>
      </c>
      <c r="Q41" s="3" t="s">
        <v>623</v>
      </c>
      <c r="R41" s="2"/>
      <c r="S41" s="2"/>
      <c r="T41" s="2"/>
      <c r="U41" s="2"/>
      <c r="V41" s="2"/>
      <c r="W41" s="2"/>
      <c r="X41" s="2"/>
      <c r="Y41" s="2"/>
    </row>
    <row r="42">
      <c r="A42" s="5" t="str">
        <f>IFERROR(__xludf.DUMMYFUNCTION("LEFT(A41, 4) &amp; TEXT(VALUE(REGEXEXTRACT(A41, ""\d+"")) + 1, ""0000"")"),"KIN-0040")</f>
        <v>KIN-0040</v>
      </c>
      <c r="B42" s="3" t="s">
        <v>581</v>
      </c>
      <c r="C42" s="3" t="s">
        <v>624</v>
      </c>
      <c r="D42" s="2" t="str">
        <f t="shared" si="1"/>
        <v>ANDAR PELAS PAREDES | M</v>
      </c>
      <c r="E42" s="3" t="s">
        <v>48</v>
      </c>
      <c r="F42" s="3" t="s">
        <v>21</v>
      </c>
      <c r="G42" s="3" t="s">
        <v>77</v>
      </c>
      <c r="H42" s="3" t="s">
        <v>33</v>
      </c>
      <c r="I42" s="3">
        <v>4.0</v>
      </c>
      <c r="J42" s="3" t="s">
        <v>23</v>
      </c>
      <c r="K42" s="3" t="s">
        <v>95</v>
      </c>
      <c r="L42" s="6" t="s">
        <v>65</v>
      </c>
      <c r="M42" s="3" t="s">
        <v>124</v>
      </c>
      <c r="N42" s="2"/>
      <c r="O42" s="3" t="s">
        <v>625</v>
      </c>
      <c r="P42" s="3" t="s">
        <v>626</v>
      </c>
      <c r="Q42" s="3" t="s">
        <v>627</v>
      </c>
      <c r="R42" s="2"/>
      <c r="S42" s="2"/>
      <c r="T42" s="2"/>
      <c r="U42" s="2"/>
      <c r="V42" s="2"/>
      <c r="W42" s="2"/>
      <c r="X42" s="2"/>
      <c r="Y42" s="2"/>
    </row>
    <row r="43">
      <c r="A43" s="5" t="str">
        <f>IFERROR(__xludf.DUMMYFUNCTION("LEFT(A42, 4) &amp; TEXT(VALUE(REGEXEXTRACT(A42, ""\d+"")) + 1, ""0000"")"),"KIN-0041")</f>
        <v>KIN-0041</v>
      </c>
      <c r="B43" s="3" t="s">
        <v>581</v>
      </c>
      <c r="C43" s="3" t="s">
        <v>624</v>
      </c>
      <c r="D43" s="2" t="str">
        <f t="shared" si="1"/>
        <v>ANDAR PELAS PAREDES | M</v>
      </c>
      <c r="E43" s="3" t="s">
        <v>48</v>
      </c>
      <c r="F43" s="3" t="s">
        <v>27</v>
      </c>
      <c r="G43" s="3" t="s">
        <v>77</v>
      </c>
      <c r="H43" s="3" t="s">
        <v>33</v>
      </c>
      <c r="I43" s="3">
        <v>4.0</v>
      </c>
      <c r="J43" s="3" t="s">
        <v>23</v>
      </c>
      <c r="K43" s="3" t="s">
        <v>95</v>
      </c>
      <c r="L43" s="6" t="s">
        <v>35</v>
      </c>
      <c r="M43" s="3" t="s">
        <v>124</v>
      </c>
      <c r="N43" s="2"/>
      <c r="O43" s="3" t="s">
        <v>625</v>
      </c>
      <c r="P43" s="3" t="s">
        <v>626</v>
      </c>
      <c r="Q43" s="3" t="s">
        <v>627</v>
      </c>
      <c r="R43" s="2"/>
      <c r="S43" s="2"/>
      <c r="T43" s="2"/>
      <c r="U43" s="2"/>
      <c r="V43" s="2"/>
      <c r="W43" s="2"/>
      <c r="X43" s="2"/>
      <c r="Y43" s="2"/>
    </row>
    <row r="44">
      <c r="A44" s="5" t="str">
        <f>IFERROR(__xludf.DUMMYFUNCTION("LEFT(A43, 4) &amp; TEXT(VALUE(REGEXEXTRACT(A43, ""\d+"")) + 1, ""0000"")"),"KIN-0042")</f>
        <v>KIN-0042</v>
      </c>
      <c r="B44" s="3" t="s">
        <v>581</v>
      </c>
      <c r="C44" s="3" t="s">
        <v>624</v>
      </c>
      <c r="D44" s="2" t="str">
        <f t="shared" si="1"/>
        <v>ANDAR PELAS PAREDES | M</v>
      </c>
      <c r="E44" s="3" t="s">
        <v>48</v>
      </c>
      <c r="F44" s="3" t="s">
        <v>28</v>
      </c>
      <c r="G44" s="3" t="s">
        <v>77</v>
      </c>
      <c r="H44" s="3" t="s">
        <v>33</v>
      </c>
      <c r="I44" s="3">
        <v>4.0</v>
      </c>
      <c r="J44" s="3" t="s">
        <v>23</v>
      </c>
      <c r="K44" s="3" t="s">
        <v>95</v>
      </c>
      <c r="L44" s="6" t="s">
        <v>70</v>
      </c>
      <c r="M44" s="3" t="s">
        <v>124</v>
      </c>
      <c r="N44" s="2"/>
      <c r="O44" s="3" t="s">
        <v>625</v>
      </c>
      <c r="P44" s="3" t="s">
        <v>626</v>
      </c>
      <c r="Q44" s="3" t="s">
        <v>627</v>
      </c>
      <c r="R44" s="2"/>
      <c r="S44" s="2"/>
      <c r="T44" s="2"/>
      <c r="U44" s="2"/>
      <c r="V44" s="2"/>
      <c r="W44" s="2"/>
      <c r="X44" s="2"/>
      <c r="Y44" s="2"/>
    </row>
    <row r="45">
      <c r="A45" s="5" t="str">
        <f>IFERROR(__xludf.DUMMYFUNCTION("LEFT(A44, 4) &amp; TEXT(VALUE(REGEXEXTRACT(A44, ""\d+"")) + 1, ""0000"")"),"KIN-0043")</f>
        <v>KIN-0043</v>
      </c>
      <c r="B45" s="3" t="s">
        <v>581</v>
      </c>
      <c r="C45" s="3" t="s">
        <v>624</v>
      </c>
      <c r="D45" s="2" t="str">
        <f t="shared" si="1"/>
        <v>ANDAR PELAS PAREDES | M</v>
      </c>
      <c r="E45" s="3" t="s">
        <v>48</v>
      </c>
      <c r="F45" s="3" t="s">
        <v>29</v>
      </c>
      <c r="G45" s="3" t="s">
        <v>77</v>
      </c>
      <c r="H45" s="3" t="s">
        <v>33</v>
      </c>
      <c r="I45" s="3">
        <v>4.0</v>
      </c>
      <c r="J45" s="3" t="s">
        <v>23</v>
      </c>
      <c r="K45" s="3" t="s">
        <v>95</v>
      </c>
      <c r="L45" s="6" t="s">
        <v>72</v>
      </c>
      <c r="M45" s="3" t="s">
        <v>124</v>
      </c>
      <c r="N45" s="2"/>
      <c r="O45" s="3" t="s">
        <v>625</v>
      </c>
      <c r="P45" s="3" t="s">
        <v>626</v>
      </c>
      <c r="Q45" s="3" t="s">
        <v>627</v>
      </c>
      <c r="R45" s="2"/>
      <c r="S45" s="2"/>
      <c r="T45" s="2"/>
      <c r="U45" s="2"/>
      <c r="V45" s="2"/>
      <c r="W45" s="2"/>
      <c r="X45" s="2"/>
      <c r="Y45" s="2"/>
    </row>
    <row r="46">
      <c r="A46" s="5" t="str">
        <f>IFERROR(__xludf.DUMMYFUNCTION("LEFT(A45, 4) &amp; TEXT(VALUE(REGEXEXTRACT(A45, ""\d+"")) + 1, ""0000"")"),"KIN-0044")</f>
        <v>KIN-0044</v>
      </c>
      <c r="B46" s="3" t="s">
        <v>581</v>
      </c>
      <c r="C46" s="3" t="s">
        <v>624</v>
      </c>
      <c r="D46" s="2" t="str">
        <f t="shared" si="1"/>
        <v>ANDAR PELAS PAREDES | M</v>
      </c>
      <c r="E46" s="3" t="s">
        <v>48</v>
      </c>
      <c r="F46" s="3" t="s">
        <v>30</v>
      </c>
      <c r="G46" s="3" t="s">
        <v>77</v>
      </c>
      <c r="H46" s="3" t="s">
        <v>33</v>
      </c>
      <c r="I46" s="3">
        <v>4.0</v>
      </c>
      <c r="J46" s="3" t="s">
        <v>23</v>
      </c>
      <c r="K46" s="3" t="s">
        <v>95</v>
      </c>
      <c r="L46" s="6" t="s">
        <v>39</v>
      </c>
      <c r="M46" s="3" t="s">
        <v>124</v>
      </c>
      <c r="N46" s="2"/>
      <c r="O46" s="3" t="s">
        <v>625</v>
      </c>
      <c r="P46" s="3" t="s">
        <v>626</v>
      </c>
      <c r="Q46" s="3" t="s">
        <v>627</v>
      </c>
      <c r="R46" s="2"/>
      <c r="S46" s="2"/>
      <c r="T46" s="2"/>
      <c r="U46" s="2"/>
      <c r="V46" s="2"/>
      <c r="W46" s="2"/>
      <c r="X46" s="2"/>
      <c r="Y46" s="2"/>
    </row>
    <row r="47">
      <c r="A47" s="5" t="str">
        <f>IFERROR(__xludf.DUMMYFUNCTION("LEFT(A46, 4) &amp; TEXT(VALUE(REGEXEXTRACT(A46, ""\d+"")) + 1, ""0000"")"),"KIN-0045")</f>
        <v>KIN-0045</v>
      </c>
      <c r="B47" s="3" t="s">
        <v>581</v>
      </c>
      <c r="C47" s="3" t="s">
        <v>628</v>
      </c>
      <c r="D47" s="2" t="str">
        <f t="shared" si="1"/>
        <v>PÉS LEVES | F</v>
      </c>
      <c r="E47" s="3" t="s">
        <v>20</v>
      </c>
      <c r="F47" s="3" t="s">
        <v>21</v>
      </c>
      <c r="G47" s="3" t="s">
        <v>77</v>
      </c>
      <c r="H47" s="3" t="s">
        <v>33</v>
      </c>
      <c r="I47" s="3">
        <v>2.0</v>
      </c>
      <c r="J47" s="3" t="s">
        <v>23</v>
      </c>
      <c r="K47" s="3" t="s">
        <v>95</v>
      </c>
      <c r="L47" s="6" t="s">
        <v>65</v>
      </c>
      <c r="M47" s="3" t="s">
        <v>124</v>
      </c>
      <c r="N47" s="3" t="s">
        <v>629</v>
      </c>
      <c r="O47" s="3" t="s">
        <v>55</v>
      </c>
      <c r="P47" s="3" t="s">
        <v>630</v>
      </c>
      <c r="Q47" s="2"/>
      <c r="R47" s="2"/>
      <c r="S47" s="2"/>
      <c r="T47" s="2"/>
      <c r="U47" s="2"/>
      <c r="V47" s="2"/>
      <c r="W47" s="2"/>
      <c r="X47" s="2"/>
      <c r="Y47" s="2"/>
    </row>
    <row r="48">
      <c r="A48" s="5" t="str">
        <f>IFERROR(__xludf.DUMMYFUNCTION("LEFT(A47, 4) &amp; TEXT(VALUE(REGEXEXTRACT(A47, ""\d+"")) + 1, ""0000"")"),"KIN-0046")</f>
        <v>KIN-0046</v>
      </c>
      <c r="B48" s="3" t="s">
        <v>581</v>
      </c>
      <c r="C48" s="3" t="s">
        <v>628</v>
      </c>
      <c r="D48" s="2" t="str">
        <f t="shared" si="1"/>
        <v>PÉS LEVES | F</v>
      </c>
      <c r="E48" s="3" t="s">
        <v>20</v>
      </c>
      <c r="F48" s="3" t="s">
        <v>27</v>
      </c>
      <c r="G48" s="3" t="s">
        <v>77</v>
      </c>
      <c r="H48" s="3" t="s">
        <v>33</v>
      </c>
      <c r="I48" s="3">
        <v>2.0</v>
      </c>
      <c r="J48" s="3" t="s">
        <v>23</v>
      </c>
      <c r="K48" s="3" t="s">
        <v>95</v>
      </c>
      <c r="L48" s="6" t="s">
        <v>35</v>
      </c>
      <c r="M48" s="3" t="s">
        <v>124</v>
      </c>
      <c r="N48" s="3" t="s">
        <v>631</v>
      </c>
      <c r="O48" s="3" t="s">
        <v>57</v>
      </c>
      <c r="P48" s="3" t="s">
        <v>630</v>
      </c>
      <c r="Q48" s="2"/>
      <c r="R48" s="2"/>
      <c r="S48" s="2"/>
      <c r="T48" s="2"/>
      <c r="U48" s="2"/>
      <c r="V48" s="2"/>
      <c r="W48" s="2"/>
      <c r="X48" s="2"/>
      <c r="Y48" s="2"/>
    </row>
    <row r="49">
      <c r="A49" s="5" t="str">
        <f>IFERROR(__xludf.DUMMYFUNCTION("LEFT(A48, 4) &amp; TEXT(VALUE(REGEXEXTRACT(A48, ""\d+"")) + 1, ""0000"")"),"KIN-0047")</f>
        <v>KIN-0047</v>
      </c>
      <c r="B49" s="3" t="s">
        <v>581</v>
      </c>
      <c r="C49" s="3" t="s">
        <v>628</v>
      </c>
      <c r="D49" s="2" t="str">
        <f t="shared" si="1"/>
        <v>PÉS LEVES | F</v>
      </c>
      <c r="E49" s="3" t="s">
        <v>20</v>
      </c>
      <c r="F49" s="3" t="s">
        <v>28</v>
      </c>
      <c r="G49" s="3" t="s">
        <v>77</v>
      </c>
      <c r="H49" s="3" t="s">
        <v>33</v>
      </c>
      <c r="I49" s="3">
        <v>2.0</v>
      </c>
      <c r="J49" s="3" t="s">
        <v>23</v>
      </c>
      <c r="K49" s="3" t="s">
        <v>95</v>
      </c>
      <c r="L49" s="6" t="s">
        <v>70</v>
      </c>
      <c r="M49" s="3" t="s">
        <v>124</v>
      </c>
      <c r="N49" s="3" t="s">
        <v>632</v>
      </c>
      <c r="O49" s="3" t="s">
        <v>633</v>
      </c>
      <c r="P49" s="3" t="s">
        <v>630</v>
      </c>
      <c r="Q49" s="2"/>
      <c r="R49" s="2"/>
      <c r="S49" s="2"/>
      <c r="T49" s="2"/>
      <c r="U49" s="2"/>
      <c r="V49" s="2"/>
      <c r="W49" s="2"/>
      <c r="X49" s="2"/>
      <c r="Y49" s="2"/>
    </row>
    <row r="50">
      <c r="A50" s="5" t="str">
        <f>IFERROR(__xludf.DUMMYFUNCTION("LEFT(A49, 4) &amp; TEXT(VALUE(REGEXEXTRACT(A49, ""\d+"")) + 1, ""0000"")"),"KIN-0048")</f>
        <v>KIN-0048</v>
      </c>
      <c r="B50" s="3" t="s">
        <v>581</v>
      </c>
      <c r="C50" s="3" t="s">
        <v>628</v>
      </c>
      <c r="D50" s="2" t="str">
        <f t="shared" si="1"/>
        <v>PÉS LEVES | F</v>
      </c>
      <c r="E50" s="3" t="s">
        <v>20</v>
      </c>
      <c r="F50" s="3" t="s">
        <v>29</v>
      </c>
      <c r="G50" s="3" t="s">
        <v>77</v>
      </c>
      <c r="H50" s="3" t="s">
        <v>33</v>
      </c>
      <c r="I50" s="3">
        <v>2.0</v>
      </c>
      <c r="J50" s="3" t="s">
        <v>23</v>
      </c>
      <c r="K50" s="3" t="s">
        <v>95</v>
      </c>
      <c r="L50" s="6" t="s">
        <v>72</v>
      </c>
      <c r="M50" s="3" t="s">
        <v>124</v>
      </c>
      <c r="N50" s="3" t="s">
        <v>634</v>
      </c>
      <c r="O50" s="3" t="s">
        <v>635</v>
      </c>
      <c r="P50" s="3" t="s">
        <v>630</v>
      </c>
      <c r="Q50" s="2"/>
      <c r="R50" s="2"/>
      <c r="S50" s="2"/>
      <c r="T50" s="2"/>
      <c r="U50" s="2"/>
      <c r="V50" s="2"/>
      <c r="W50" s="2"/>
      <c r="X50" s="2"/>
      <c r="Y50" s="2"/>
    </row>
    <row r="51">
      <c r="A51" s="5" t="str">
        <f>IFERROR(__xludf.DUMMYFUNCTION("LEFT(A50, 4) &amp; TEXT(VALUE(REGEXEXTRACT(A50, ""\d+"")) + 1, ""0000"")"),"KIN-0049")</f>
        <v>KIN-0049</v>
      </c>
      <c r="B51" s="3" t="s">
        <v>581</v>
      </c>
      <c r="C51" s="3" t="s">
        <v>628</v>
      </c>
      <c r="D51" s="2" t="str">
        <f t="shared" si="1"/>
        <v>PÉS LEVES | F</v>
      </c>
      <c r="E51" s="3" t="s">
        <v>20</v>
      </c>
      <c r="F51" s="3" t="s">
        <v>30</v>
      </c>
      <c r="G51" s="3" t="s">
        <v>77</v>
      </c>
      <c r="H51" s="3" t="s">
        <v>33</v>
      </c>
      <c r="I51" s="3">
        <v>2.0</v>
      </c>
      <c r="J51" s="3" t="s">
        <v>23</v>
      </c>
      <c r="K51" s="3" t="s">
        <v>95</v>
      </c>
      <c r="L51" s="6" t="s">
        <v>39</v>
      </c>
      <c r="M51" s="3" t="s">
        <v>124</v>
      </c>
      <c r="N51" s="3" t="s">
        <v>636</v>
      </c>
      <c r="O51" s="3" t="s">
        <v>59</v>
      </c>
      <c r="P51" s="3" t="s">
        <v>630</v>
      </c>
      <c r="Q51" s="2"/>
      <c r="R51" s="2"/>
      <c r="S51" s="2"/>
      <c r="T51" s="2"/>
      <c r="U51" s="2"/>
      <c r="V51" s="2"/>
      <c r="W51" s="2"/>
      <c r="X51" s="2"/>
      <c r="Y51" s="2"/>
    </row>
    <row r="52">
      <c r="A52" s="5" t="str">
        <f>IFERROR(__xludf.DUMMYFUNCTION("LEFT(A51, 4) &amp; TEXT(VALUE(REGEXEXTRACT(A51, ""\d+"")) + 1, ""0000"")"),"KIN-0050")</f>
        <v>KIN-0050</v>
      </c>
      <c r="B52" s="3" t="s">
        <v>581</v>
      </c>
      <c r="C52" s="3" t="s">
        <v>637</v>
      </c>
      <c r="D52" s="2" t="str">
        <f t="shared" si="1"/>
        <v>BLINK | M</v>
      </c>
      <c r="E52" s="3" t="s">
        <v>48</v>
      </c>
      <c r="F52" s="3" t="s">
        <v>21</v>
      </c>
      <c r="G52" s="3" t="s">
        <v>638</v>
      </c>
      <c r="H52" s="3" t="s">
        <v>33</v>
      </c>
      <c r="I52" s="3">
        <v>4.0</v>
      </c>
      <c r="J52" s="3" t="s">
        <v>23</v>
      </c>
      <c r="K52" s="3" t="s">
        <v>34</v>
      </c>
      <c r="L52" s="14" t="s">
        <v>510</v>
      </c>
      <c r="M52" s="3" t="s">
        <v>24</v>
      </c>
      <c r="N52" s="3" t="s">
        <v>148</v>
      </c>
      <c r="O52" s="3" t="s">
        <v>23</v>
      </c>
      <c r="P52" s="3" t="s">
        <v>639</v>
      </c>
      <c r="Q52" s="3" t="s">
        <v>640</v>
      </c>
      <c r="R52" s="2"/>
      <c r="S52" s="2"/>
      <c r="T52" s="2"/>
      <c r="U52" s="2"/>
      <c r="V52" s="2"/>
      <c r="W52" s="2"/>
      <c r="X52" s="2"/>
      <c r="Y52" s="2"/>
    </row>
    <row r="53">
      <c r="A53" s="5" t="str">
        <f>IFERROR(__xludf.DUMMYFUNCTION("LEFT(A52, 4) &amp; TEXT(VALUE(REGEXEXTRACT(A52, ""\d+"")) + 1, ""0000"")"),"KIN-0051")</f>
        <v>KIN-0051</v>
      </c>
      <c r="B53" s="3" t="s">
        <v>581</v>
      </c>
      <c r="C53" s="3" t="s">
        <v>637</v>
      </c>
      <c r="D53" s="2" t="str">
        <f t="shared" si="1"/>
        <v>BLINK | M</v>
      </c>
      <c r="E53" s="3" t="s">
        <v>48</v>
      </c>
      <c r="F53" s="3" t="s">
        <v>27</v>
      </c>
      <c r="G53" s="3" t="s">
        <v>638</v>
      </c>
      <c r="H53" s="3" t="s">
        <v>33</v>
      </c>
      <c r="I53" s="3">
        <v>4.0</v>
      </c>
      <c r="J53" s="3" t="s">
        <v>23</v>
      </c>
      <c r="K53" s="3" t="s">
        <v>34</v>
      </c>
      <c r="L53" s="6" t="s">
        <v>72</v>
      </c>
      <c r="M53" s="3" t="s">
        <v>24</v>
      </c>
      <c r="N53" s="3" t="s">
        <v>148</v>
      </c>
      <c r="O53" s="3" t="s">
        <v>23</v>
      </c>
      <c r="P53" s="3" t="s">
        <v>639</v>
      </c>
      <c r="Q53" s="3" t="s">
        <v>640</v>
      </c>
      <c r="R53" s="2"/>
      <c r="S53" s="2"/>
      <c r="T53" s="2"/>
      <c r="U53" s="2"/>
      <c r="V53" s="2"/>
      <c r="W53" s="2"/>
      <c r="X53" s="2"/>
      <c r="Y53" s="2"/>
    </row>
    <row r="54">
      <c r="A54" s="5" t="str">
        <f>IFERROR(__xludf.DUMMYFUNCTION("LEFT(A53, 4) &amp; TEXT(VALUE(REGEXEXTRACT(A53, ""\d+"")) + 1, ""0000"")"),"KIN-0052")</f>
        <v>KIN-0052</v>
      </c>
      <c r="B54" s="3" t="s">
        <v>581</v>
      </c>
      <c r="C54" s="3" t="s">
        <v>637</v>
      </c>
      <c r="D54" s="2" t="str">
        <f t="shared" si="1"/>
        <v>BLINK | M</v>
      </c>
      <c r="E54" s="3" t="s">
        <v>48</v>
      </c>
      <c r="F54" s="3" t="s">
        <v>28</v>
      </c>
      <c r="G54" s="3" t="s">
        <v>638</v>
      </c>
      <c r="H54" s="3" t="s">
        <v>33</v>
      </c>
      <c r="I54" s="3">
        <v>4.0</v>
      </c>
      <c r="J54" s="3" t="s">
        <v>23</v>
      </c>
      <c r="K54" s="3" t="s">
        <v>34</v>
      </c>
      <c r="L54" s="14" t="s">
        <v>641</v>
      </c>
      <c r="M54" s="3" t="s">
        <v>24</v>
      </c>
      <c r="N54" s="3" t="s">
        <v>153</v>
      </c>
      <c r="O54" s="3" t="s">
        <v>23</v>
      </c>
      <c r="P54" s="3" t="s">
        <v>639</v>
      </c>
      <c r="Q54" s="3" t="s">
        <v>642</v>
      </c>
      <c r="R54" s="2"/>
      <c r="S54" s="2"/>
      <c r="T54" s="2"/>
      <c r="U54" s="2"/>
      <c r="V54" s="2"/>
      <c r="W54" s="2"/>
      <c r="X54" s="2"/>
      <c r="Y54" s="2"/>
    </row>
    <row r="55">
      <c r="A55" s="5" t="str">
        <f>IFERROR(__xludf.DUMMYFUNCTION("LEFT(A54, 4) &amp; TEXT(VALUE(REGEXEXTRACT(A54, ""\d+"")) + 1, ""0000"")"),"KIN-0053")</f>
        <v>KIN-0053</v>
      </c>
      <c r="B55" s="3" t="s">
        <v>581</v>
      </c>
      <c r="C55" s="3" t="s">
        <v>637</v>
      </c>
      <c r="D55" s="2" t="str">
        <f t="shared" si="1"/>
        <v>BLINK | M</v>
      </c>
      <c r="E55" s="3" t="s">
        <v>48</v>
      </c>
      <c r="F55" s="3" t="s">
        <v>29</v>
      </c>
      <c r="G55" s="3" t="s">
        <v>638</v>
      </c>
      <c r="H55" s="3" t="s">
        <v>33</v>
      </c>
      <c r="I55" s="3">
        <v>4.0</v>
      </c>
      <c r="J55" s="3" t="s">
        <v>23</v>
      </c>
      <c r="K55" s="3" t="s">
        <v>34</v>
      </c>
      <c r="L55" s="14" t="s">
        <v>643</v>
      </c>
      <c r="M55" s="3" t="s">
        <v>24</v>
      </c>
      <c r="N55" s="3" t="s">
        <v>153</v>
      </c>
      <c r="O55" s="3" t="s">
        <v>23</v>
      </c>
      <c r="P55" s="3" t="s">
        <v>639</v>
      </c>
      <c r="Q55" s="3" t="s">
        <v>642</v>
      </c>
      <c r="R55" s="2"/>
      <c r="S55" s="2"/>
      <c r="T55" s="2"/>
      <c r="U55" s="2"/>
      <c r="V55" s="2"/>
      <c r="W55" s="2"/>
      <c r="X55" s="2"/>
      <c r="Y55" s="2"/>
    </row>
    <row r="56">
      <c r="A56" s="5" t="str">
        <f>IFERROR(__xludf.DUMMYFUNCTION("LEFT(A55, 4) &amp; TEXT(VALUE(REGEXEXTRACT(A55, ""\d+"")) + 1, ""0000"")"),"KIN-0054")</f>
        <v>KIN-0054</v>
      </c>
      <c r="B56" s="3" t="s">
        <v>581</v>
      </c>
      <c r="C56" s="3" t="s">
        <v>637</v>
      </c>
      <c r="D56" s="2" t="str">
        <f t="shared" si="1"/>
        <v>BLINK | M</v>
      </c>
      <c r="E56" s="3" t="s">
        <v>48</v>
      </c>
      <c r="F56" s="3" t="s">
        <v>30</v>
      </c>
      <c r="G56" s="3" t="s">
        <v>638</v>
      </c>
      <c r="H56" s="3" t="s">
        <v>33</v>
      </c>
      <c r="I56" s="3">
        <v>4.0</v>
      </c>
      <c r="J56" s="3" t="s">
        <v>23</v>
      </c>
      <c r="K56" s="3" t="s">
        <v>34</v>
      </c>
      <c r="L56" s="14" t="s">
        <v>644</v>
      </c>
      <c r="M56" s="3" t="s">
        <v>24</v>
      </c>
      <c r="N56" s="3" t="s">
        <v>157</v>
      </c>
      <c r="O56" s="3" t="s">
        <v>23</v>
      </c>
      <c r="P56" s="3" t="s">
        <v>639</v>
      </c>
      <c r="Q56" s="3" t="s">
        <v>645</v>
      </c>
      <c r="R56" s="2"/>
      <c r="S56" s="2"/>
      <c r="T56" s="2"/>
      <c r="U56" s="2"/>
      <c r="V56" s="2"/>
      <c r="W56" s="2"/>
      <c r="X56" s="2"/>
      <c r="Y56" s="2"/>
    </row>
    <row r="57">
      <c r="A57" s="5" t="str">
        <f>IFERROR(__xludf.DUMMYFUNCTION("LEFT(A56, 4) &amp; TEXT(VALUE(REGEXEXTRACT(A56, ""\d+"")) + 1, ""0000"")"),"KIN-0055")</f>
        <v>KIN-0055</v>
      </c>
      <c r="B57" s="3" t="s">
        <v>581</v>
      </c>
      <c r="C57" s="3" t="s">
        <v>646</v>
      </c>
      <c r="D57" s="2" t="str">
        <f t="shared" si="1"/>
        <v>BLINKAR OUTRO | D</v>
      </c>
      <c r="E57" s="3" t="s">
        <v>76</v>
      </c>
      <c r="F57" s="3" t="s">
        <v>21</v>
      </c>
      <c r="G57" s="3" t="s">
        <v>638</v>
      </c>
      <c r="H57" s="3" t="s">
        <v>647</v>
      </c>
      <c r="I57" s="3">
        <v>8.0</v>
      </c>
      <c r="J57" s="3" t="s">
        <v>23</v>
      </c>
      <c r="K57" s="3" t="s">
        <v>34</v>
      </c>
      <c r="L57" s="14" t="s">
        <v>510</v>
      </c>
      <c r="M57" s="3" t="s">
        <v>124</v>
      </c>
      <c r="N57" s="3" t="s">
        <v>148</v>
      </c>
      <c r="O57" s="3" t="s">
        <v>23</v>
      </c>
      <c r="P57" s="3" t="s">
        <v>648</v>
      </c>
      <c r="Q57" s="2"/>
      <c r="R57" s="2"/>
      <c r="S57" s="2"/>
      <c r="T57" s="2"/>
      <c r="U57" s="2"/>
      <c r="V57" s="2"/>
      <c r="W57" s="2"/>
      <c r="X57" s="2"/>
      <c r="Y57" s="2"/>
    </row>
    <row r="58">
      <c r="A58" s="5" t="str">
        <f>IFERROR(__xludf.DUMMYFUNCTION("LEFT(A57, 4) &amp; TEXT(VALUE(REGEXEXTRACT(A57, ""\d+"")) + 1, ""0000"")"),"KIN-0056")</f>
        <v>KIN-0056</v>
      </c>
      <c r="B58" s="3" t="s">
        <v>581</v>
      </c>
      <c r="C58" s="3" t="s">
        <v>646</v>
      </c>
      <c r="D58" s="2" t="str">
        <f t="shared" si="1"/>
        <v>BLINKAR OUTRO | D</v>
      </c>
      <c r="E58" s="3" t="s">
        <v>76</v>
      </c>
      <c r="F58" s="3" t="s">
        <v>27</v>
      </c>
      <c r="G58" s="3" t="s">
        <v>638</v>
      </c>
      <c r="H58" s="3" t="s">
        <v>647</v>
      </c>
      <c r="I58" s="3">
        <v>8.0</v>
      </c>
      <c r="J58" s="3" t="s">
        <v>23</v>
      </c>
      <c r="K58" s="3" t="s">
        <v>34</v>
      </c>
      <c r="L58" s="6" t="s">
        <v>72</v>
      </c>
      <c r="M58" s="3" t="s">
        <v>124</v>
      </c>
      <c r="N58" s="3" t="s">
        <v>148</v>
      </c>
      <c r="O58" s="3" t="s">
        <v>23</v>
      </c>
      <c r="P58" s="3" t="s">
        <v>648</v>
      </c>
      <c r="Q58" s="2"/>
      <c r="R58" s="2"/>
      <c r="S58" s="2"/>
      <c r="T58" s="2"/>
      <c r="U58" s="2"/>
      <c r="V58" s="2"/>
      <c r="W58" s="2"/>
      <c r="X58" s="2"/>
      <c r="Y58" s="2"/>
    </row>
    <row r="59">
      <c r="A59" s="5" t="str">
        <f>IFERROR(__xludf.DUMMYFUNCTION("LEFT(A58, 4) &amp; TEXT(VALUE(REGEXEXTRACT(A58, ""\d+"")) + 1, ""0000"")"),"KIN-0057")</f>
        <v>KIN-0057</v>
      </c>
      <c r="B59" s="3" t="s">
        <v>581</v>
      </c>
      <c r="C59" s="3" t="s">
        <v>646</v>
      </c>
      <c r="D59" s="2" t="str">
        <f t="shared" si="1"/>
        <v>BLINKAR OUTRO | D</v>
      </c>
      <c r="E59" s="3" t="s">
        <v>76</v>
      </c>
      <c r="F59" s="3" t="s">
        <v>28</v>
      </c>
      <c r="G59" s="3" t="s">
        <v>638</v>
      </c>
      <c r="H59" s="3" t="s">
        <v>647</v>
      </c>
      <c r="I59" s="3">
        <v>8.0</v>
      </c>
      <c r="J59" s="3" t="s">
        <v>23</v>
      </c>
      <c r="K59" s="3" t="s">
        <v>34</v>
      </c>
      <c r="L59" s="14" t="s">
        <v>641</v>
      </c>
      <c r="M59" s="3" t="s">
        <v>124</v>
      </c>
      <c r="N59" s="3" t="s">
        <v>153</v>
      </c>
      <c r="O59" s="3" t="s">
        <v>23</v>
      </c>
      <c r="P59" s="3" t="s">
        <v>648</v>
      </c>
      <c r="Q59" s="2"/>
      <c r="R59" s="2"/>
      <c r="S59" s="2"/>
      <c r="T59" s="2"/>
      <c r="U59" s="2"/>
      <c r="V59" s="2"/>
      <c r="W59" s="2"/>
      <c r="X59" s="2"/>
      <c r="Y59" s="2"/>
    </row>
    <row r="60">
      <c r="A60" s="5" t="str">
        <f>IFERROR(__xludf.DUMMYFUNCTION("LEFT(A59, 4) &amp; TEXT(VALUE(REGEXEXTRACT(A59, ""\d+"")) + 1, ""0000"")"),"KIN-0058")</f>
        <v>KIN-0058</v>
      </c>
      <c r="B60" s="3" t="s">
        <v>581</v>
      </c>
      <c r="C60" s="3" t="s">
        <v>646</v>
      </c>
      <c r="D60" s="2" t="str">
        <f t="shared" si="1"/>
        <v>BLINKAR OUTRO | D</v>
      </c>
      <c r="E60" s="3" t="s">
        <v>76</v>
      </c>
      <c r="F60" s="3" t="s">
        <v>29</v>
      </c>
      <c r="G60" s="3" t="s">
        <v>638</v>
      </c>
      <c r="H60" s="3" t="s">
        <v>647</v>
      </c>
      <c r="I60" s="3">
        <v>8.0</v>
      </c>
      <c r="J60" s="3" t="s">
        <v>23</v>
      </c>
      <c r="K60" s="3" t="s">
        <v>34</v>
      </c>
      <c r="L60" s="14" t="s">
        <v>643</v>
      </c>
      <c r="M60" s="3" t="s">
        <v>124</v>
      </c>
      <c r="N60" s="3" t="s">
        <v>153</v>
      </c>
      <c r="O60" s="3" t="s">
        <v>23</v>
      </c>
      <c r="P60" s="3" t="s">
        <v>648</v>
      </c>
      <c r="Q60" s="2"/>
      <c r="R60" s="2"/>
      <c r="S60" s="2"/>
      <c r="T60" s="2"/>
      <c r="U60" s="2"/>
      <c r="V60" s="2"/>
      <c r="W60" s="2"/>
      <c r="X60" s="2"/>
      <c r="Y60" s="2"/>
    </row>
    <row r="61">
      <c r="A61" s="5" t="str">
        <f>IFERROR(__xludf.DUMMYFUNCTION("LEFT(A60, 4) &amp; TEXT(VALUE(REGEXEXTRACT(A60, ""\d+"")) + 1, ""0000"")"),"KIN-0059")</f>
        <v>KIN-0059</v>
      </c>
      <c r="B61" s="3" t="s">
        <v>581</v>
      </c>
      <c r="C61" s="3" t="s">
        <v>646</v>
      </c>
      <c r="D61" s="2" t="str">
        <f t="shared" si="1"/>
        <v>BLINKAR OUTRO | D</v>
      </c>
      <c r="E61" s="3" t="s">
        <v>76</v>
      </c>
      <c r="F61" s="3" t="s">
        <v>30</v>
      </c>
      <c r="G61" s="3" t="s">
        <v>638</v>
      </c>
      <c r="H61" s="3" t="s">
        <v>647</v>
      </c>
      <c r="I61" s="3">
        <v>8.0</v>
      </c>
      <c r="J61" s="3" t="s">
        <v>23</v>
      </c>
      <c r="K61" s="3" t="s">
        <v>34</v>
      </c>
      <c r="L61" s="14" t="s">
        <v>644</v>
      </c>
      <c r="M61" s="3" t="s">
        <v>124</v>
      </c>
      <c r="N61" s="3" t="s">
        <v>157</v>
      </c>
      <c r="O61" s="3" t="s">
        <v>23</v>
      </c>
      <c r="P61" s="3" t="s">
        <v>648</v>
      </c>
      <c r="Q61" s="2"/>
      <c r="R61" s="2"/>
      <c r="S61" s="2"/>
      <c r="T61" s="2"/>
      <c r="U61" s="2"/>
      <c r="V61" s="2"/>
      <c r="W61" s="2"/>
      <c r="X61" s="2"/>
      <c r="Y61" s="2"/>
    </row>
    <row r="62">
      <c r="A62" s="5" t="str">
        <f>IFERROR(__xludf.DUMMYFUNCTION("LEFT(A61, 4) &amp; TEXT(VALUE(REGEXEXTRACT(A61, ""\d+"")) + 1, ""0000"")"),"KIN-0060")</f>
        <v>KIN-0060</v>
      </c>
      <c r="B62" s="3" t="s">
        <v>581</v>
      </c>
      <c r="C62" s="3" t="s">
        <v>649</v>
      </c>
      <c r="D62" s="2" t="str">
        <f t="shared" si="1"/>
        <v>TELETRANSPORTE | D</v>
      </c>
      <c r="E62" s="3" t="s">
        <v>76</v>
      </c>
      <c r="F62" s="3" t="s">
        <v>21</v>
      </c>
      <c r="G62" s="3" t="s">
        <v>638</v>
      </c>
      <c r="H62" s="3" t="s">
        <v>33</v>
      </c>
      <c r="I62" s="3" t="s">
        <v>117</v>
      </c>
      <c r="J62" s="3" t="s">
        <v>136</v>
      </c>
      <c r="K62" s="3" t="s">
        <v>24</v>
      </c>
      <c r="L62" s="7" t="s">
        <v>38</v>
      </c>
      <c r="M62" s="3" t="s">
        <v>124</v>
      </c>
      <c r="N62" s="3" t="s">
        <v>174</v>
      </c>
      <c r="O62" s="3" t="s">
        <v>23</v>
      </c>
      <c r="P62" s="3" t="s">
        <v>650</v>
      </c>
      <c r="Q62" s="3" t="s">
        <v>651</v>
      </c>
      <c r="R62" s="2"/>
      <c r="S62" s="2"/>
      <c r="T62" s="2"/>
      <c r="U62" s="2"/>
      <c r="V62" s="2"/>
      <c r="W62" s="2"/>
      <c r="X62" s="2"/>
      <c r="Y62" s="2"/>
    </row>
    <row r="63">
      <c r="A63" s="5" t="str">
        <f>IFERROR(__xludf.DUMMYFUNCTION("LEFT(A62, 4) &amp; TEXT(VALUE(REGEXEXTRACT(A62, ""\d+"")) + 1, ""0000"")"),"KIN-0061")</f>
        <v>KIN-0061</v>
      </c>
      <c r="B63" s="3" t="s">
        <v>581</v>
      </c>
      <c r="C63" s="3" t="s">
        <v>649</v>
      </c>
      <c r="D63" s="2" t="str">
        <f t="shared" si="1"/>
        <v>TELETRANSPORTE | D</v>
      </c>
      <c r="E63" s="3" t="s">
        <v>76</v>
      </c>
      <c r="F63" s="3" t="s">
        <v>27</v>
      </c>
      <c r="G63" s="3" t="s">
        <v>638</v>
      </c>
      <c r="H63" s="3" t="s">
        <v>33</v>
      </c>
      <c r="I63" s="3" t="s">
        <v>117</v>
      </c>
      <c r="J63" s="3" t="s">
        <v>136</v>
      </c>
      <c r="K63" s="3" t="s">
        <v>24</v>
      </c>
      <c r="L63" s="7" t="s">
        <v>41</v>
      </c>
      <c r="M63" s="3" t="s">
        <v>117</v>
      </c>
      <c r="N63" s="3" t="s">
        <v>177</v>
      </c>
      <c r="O63" s="3" t="s">
        <v>23</v>
      </c>
      <c r="P63" s="3" t="s">
        <v>650</v>
      </c>
      <c r="Q63" s="3" t="s">
        <v>651</v>
      </c>
      <c r="R63" s="2"/>
      <c r="S63" s="2"/>
      <c r="T63" s="2"/>
      <c r="U63" s="2"/>
      <c r="V63" s="2"/>
      <c r="W63" s="2"/>
      <c r="X63" s="2"/>
      <c r="Y63" s="2"/>
    </row>
    <row r="64">
      <c r="A64" s="5" t="str">
        <f>IFERROR(__xludf.DUMMYFUNCTION("LEFT(A63, 4) &amp; TEXT(VALUE(REGEXEXTRACT(A63, ""\d+"")) + 1, ""0000"")"),"KIN-0062")</f>
        <v>KIN-0062</v>
      </c>
      <c r="B64" s="3" t="s">
        <v>581</v>
      </c>
      <c r="C64" s="3" t="s">
        <v>649</v>
      </c>
      <c r="D64" s="2" t="str">
        <f t="shared" si="1"/>
        <v>TELETRANSPORTE | D</v>
      </c>
      <c r="E64" s="3" t="s">
        <v>76</v>
      </c>
      <c r="F64" s="3" t="s">
        <v>28</v>
      </c>
      <c r="G64" s="3" t="s">
        <v>638</v>
      </c>
      <c r="H64" s="3" t="s">
        <v>33</v>
      </c>
      <c r="I64" s="3" t="s">
        <v>117</v>
      </c>
      <c r="J64" s="3" t="s">
        <v>652</v>
      </c>
      <c r="K64" s="15"/>
      <c r="L64" s="7" t="s">
        <v>178</v>
      </c>
      <c r="M64" s="3" t="s">
        <v>117</v>
      </c>
      <c r="N64" s="3" t="s">
        <v>179</v>
      </c>
      <c r="O64" s="3" t="s">
        <v>23</v>
      </c>
      <c r="P64" s="3" t="s">
        <v>650</v>
      </c>
      <c r="Q64" s="3" t="s">
        <v>651</v>
      </c>
      <c r="R64" s="2"/>
      <c r="S64" s="2"/>
      <c r="T64" s="2"/>
      <c r="U64" s="2"/>
      <c r="V64" s="2"/>
      <c r="W64" s="2"/>
      <c r="X64" s="2"/>
      <c r="Y64" s="2"/>
    </row>
    <row r="65">
      <c r="A65" s="5" t="str">
        <f>IFERROR(__xludf.DUMMYFUNCTION("LEFT(A64, 4) &amp; TEXT(VALUE(REGEXEXTRACT(A64, ""\d+"")) + 1, ""0000"")"),"KIN-0063")</f>
        <v>KIN-0063</v>
      </c>
      <c r="B65" s="3" t="s">
        <v>581</v>
      </c>
      <c r="C65" s="3" t="s">
        <v>649</v>
      </c>
      <c r="D65" s="2" t="str">
        <f t="shared" si="1"/>
        <v>TELETRANSPORTE | D</v>
      </c>
      <c r="E65" s="3" t="s">
        <v>76</v>
      </c>
      <c r="F65" s="3" t="s">
        <v>29</v>
      </c>
      <c r="G65" s="3" t="s">
        <v>638</v>
      </c>
      <c r="H65" s="3" t="s">
        <v>33</v>
      </c>
      <c r="I65" s="3" t="s">
        <v>117</v>
      </c>
      <c r="J65" s="3" t="s">
        <v>652</v>
      </c>
      <c r="K65" s="3" t="s">
        <v>24</v>
      </c>
      <c r="L65" s="7" t="s">
        <v>180</v>
      </c>
      <c r="M65" s="3" t="s">
        <v>117</v>
      </c>
      <c r="N65" s="3" t="s">
        <v>181</v>
      </c>
      <c r="O65" s="3" t="s">
        <v>23</v>
      </c>
      <c r="P65" s="3" t="s">
        <v>650</v>
      </c>
      <c r="Q65" s="3" t="s">
        <v>651</v>
      </c>
      <c r="R65" s="2"/>
      <c r="S65" s="2"/>
      <c r="T65" s="2"/>
      <c r="U65" s="2"/>
      <c r="V65" s="2"/>
      <c r="W65" s="2"/>
      <c r="X65" s="2"/>
      <c r="Y65" s="2"/>
    </row>
    <row r="66">
      <c r="A66" s="5" t="str">
        <f>IFERROR(__xludf.DUMMYFUNCTION("LEFT(A65, 4) &amp; TEXT(VALUE(REGEXEXTRACT(A65, ""\d+"")) + 1, ""0000"")"),"KIN-0064")</f>
        <v>KIN-0064</v>
      </c>
      <c r="B66" s="3" t="s">
        <v>581</v>
      </c>
      <c r="C66" s="3" t="s">
        <v>649</v>
      </c>
      <c r="D66" s="2" t="str">
        <f t="shared" si="1"/>
        <v>TELETRANSPORTE | D</v>
      </c>
      <c r="E66" s="3" t="s">
        <v>76</v>
      </c>
      <c r="F66" s="3" t="s">
        <v>30</v>
      </c>
      <c r="G66" s="3" t="s">
        <v>638</v>
      </c>
      <c r="H66" s="3" t="s">
        <v>33</v>
      </c>
      <c r="I66" s="3" t="s">
        <v>117</v>
      </c>
      <c r="J66" s="3" t="s">
        <v>131</v>
      </c>
      <c r="K66" s="3" t="s">
        <v>24</v>
      </c>
      <c r="L66" s="7" t="s">
        <v>182</v>
      </c>
      <c r="M66" s="3" t="s">
        <v>117</v>
      </c>
      <c r="N66" s="3" t="s">
        <v>183</v>
      </c>
      <c r="O66" s="3" t="s">
        <v>23</v>
      </c>
      <c r="P66" s="3" t="s">
        <v>650</v>
      </c>
      <c r="Q66" s="3" t="s">
        <v>651</v>
      </c>
      <c r="R66" s="2"/>
      <c r="S66" s="2"/>
      <c r="T66" s="2"/>
      <c r="U66" s="2"/>
      <c r="V66" s="2"/>
      <c r="W66" s="2"/>
      <c r="X66" s="2"/>
      <c r="Y66" s="2"/>
    </row>
    <row r="67">
      <c r="A67" s="5" t="str">
        <f>IFERROR(__xludf.DUMMYFUNCTION("LEFT(A66, 4) &amp; TEXT(VALUE(REGEXEXTRACT(A66, ""\d+"")) + 1, ""0000"")"),"KIN-0065")</f>
        <v>KIN-0065</v>
      </c>
      <c r="B67" s="3" t="s">
        <v>581</v>
      </c>
      <c r="C67" s="3" t="s">
        <v>653</v>
      </c>
      <c r="D67" s="2" t="str">
        <f t="shared" si="1"/>
        <v>TELETRANSPORTAR OUTRO | MD</v>
      </c>
      <c r="E67" s="3" t="s">
        <v>94</v>
      </c>
      <c r="F67" s="3" t="s">
        <v>21</v>
      </c>
      <c r="G67" s="3" t="s">
        <v>638</v>
      </c>
      <c r="H67" s="3" t="s">
        <v>654</v>
      </c>
      <c r="I67" s="3" t="s">
        <v>117</v>
      </c>
      <c r="J67" s="3" t="s">
        <v>136</v>
      </c>
      <c r="K67" s="3" t="s">
        <v>95</v>
      </c>
      <c r="L67" s="7" t="s">
        <v>38</v>
      </c>
      <c r="M67" s="3" t="s">
        <v>124</v>
      </c>
      <c r="N67" s="3" t="s">
        <v>174</v>
      </c>
      <c r="O67" s="3" t="s">
        <v>23</v>
      </c>
      <c r="P67" s="3" t="s">
        <v>655</v>
      </c>
      <c r="Q67" s="2"/>
      <c r="R67" s="2"/>
      <c r="S67" s="2"/>
      <c r="T67" s="2"/>
      <c r="U67" s="2"/>
      <c r="V67" s="2"/>
      <c r="W67" s="2"/>
      <c r="X67" s="2"/>
      <c r="Y67" s="2"/>
    </row>
    <row r="68">
      <c r="A68" s="5" t="str">
        <f>IFERROR(__xludf.DUMMYFUNCTION("LEFT(A67, 4) &amp; TEXT(VALUE(REGEXEXTRACT(A67, ""\d+"")) + 1, ""0000"")"),"KIN-0066")</f>
        <v>KIN-0066</v>
      </c>
      <c r="B68" s="3" t="s">
        <v>581</v>
      </c>
      <c r="C68" s="3" t="s">
        <v>653</v>
      </c>
      <c r="D68" s="2" t="str">
        <f t="shared" si="1"/>
        <v>TELETRANSPORTAR OUTRO | MD</v>
      </c>
      <c r="E68" s="3" t="s">
        <v>94</v>
      </c>
      <c r="F68" s="3" t="s">
        <v>27</v>
      </c>
      <c r="G68" s="3" t="s">
        <v>638</v>
      </c>
      <c r="H68" s="3" t="s">
        <v>654</v>
      </c>
      <c r="I68" s="3" t="s">
        <v>117</v>
      </c>
      <c r="J68" s="3" t="s">
        <v>136</v>
      </c>
      <c r="K68" s="3" t="s">
        <v>95</v>
      </c>
      <c r="L68" s="7" t="s">
        <v>41</v>
      </c>
      <c r="M68" s="3" t="s">
        <v>124</v>
      </c>
      <c r="N68" s="3" t="s">
        <v>177</v>
      </c>
      <c r="O68" s="3" t="s">
        <v>23</v>
      </c>
      <c r="P68" s="3" t="s">
        <v>655</v>
      </c>
      <c r="Q68" s="2"/>
      <c r="R68" s="2"/>
      <c r="S68" s="2"/>
      <c r="T68" s="2"/>
      <c r="U68" s="2"/>
      <c r="V68" s="2"/>
      <c r="W68" s="2"/>
      <c r="X68" s="2"/>
      <c r="Y68" s="2"/>
    </row>
    <row r="69">
      <c r="A69" s="5" t="str">
        <f>IFERROR(__xludf.DUMMYFUNCTION("LEFT(A68, 4) &amp; TEXT(VALUE(REGEXEXTRACT(A68, ""\d+"")) + 1, ""0000"")"),"KIN-0067")</f>
        <v>KIN-0067</v>
      </c>
      <c r="B69" s="3" t="s">
        <v>581</v>
      </c>
      <c r="C69" s="3" t="s">
        <v>653</v>
      </c>
      <c r="D69" s="2" t="str">
        <f t="shared" si="1"/>
        <v>TELETRANSPORTAR OUTRO | MD</v>
      </c>
      <c r="E69" s="3" t="s">
        <v>94</v>
      </c>
      <c r="F69" s="3" t="s">
        <v>28</v>
      </c>
      <c r="G69" s="3" t="s">
        <v>638</v>
      </c>
      <c r="H69" s="3" t="s">
        <v>654</v>
      </c>
      <c r="I69" s="3" t="s">
        <v>117</v>
      </c>
      <c r="J69" s="3" t="s">
        <v>652</v>
      </c>
      <c r="K69" s="3" t="s">
        <v>95</v>
      </c>
      <c r="L69" s="7" t="s">
        <v>178</v>
      </c>
      <c r="M69" s="3" t="s">
        <v>124</v>
      </c>
      <c r="N69" s="3" t="s">
        <v>179</v>
      </c>
      <c r="O69" s="3" t="s">
        <v>23</v>
      </c>
      <c r="P69" s="3" t="s">
        <v>655</v>
      </c>
      <c r="Q69" s="2"/>
      <c r="R69" s="2"/>
      <c r="S69" s="2"/>
      <c r="T69" s="2"/>
      <c r="U69" s="2"/>
      <c r="V69" s="2"/>
      <c r="W69" s="2"/>
      <c r="X69" s="2"/>
      <c r="Y69" s="2"/>
    </row>
    <row r="70">
      <c r="A70" s="5" t="str">
        <f>IFERROR(__xludf.DUMMYFUNCTION("LEFT(A69, 4) &amp; TEXT(VALUE(REGEXEXTRACT(A69, ""\d+"")) + 1, ""0000"")"),"KIN-0068")</f>
        <v>KIN-0068</v>
      </c>
      <c r="B70" s="3" t="s">
        <v>581</v>
      </c>
      <c r="C70" s="3" t="s">
        <v>653</v>
      </c>
      <c r="D70" s="2" t="str">
        <f t="shared" si="1"/>
        <v>TELETRANSPORTAR OUTRO | MD</v>
      </c>
      <c r="E70" s="3" t="s">
        <v>94</v>
      </c>
      <c r="F70" s="3" t="s">
        <v>29</v>
      </c>
      <c r="G70" s="3" t="s">
        <v>638</v>
      </c>
      <c r="H70" s="3" t="s">
        <v>654</v>
      </c>
      <c r="I70" s="3" t="s">
        <v>117</v>
      </c>
      <c r="J70" s="3" t="s">
        <v>652</v>
      </c>
      <c r="K70" s="3" t="s">
        <v>95</v>
      </c>
      <c r="L70" s="7" t="s">
        <v>180</v>
      </c>
      <c r="M70" s="3" t="s">
        <v>124</v>
      </c>
      <c r="N70" s="3" t="s">
        <v>181</v>
      </c>
      <c r="O70" s="3" t="s">
        <v>23</v>
      </c>
      <c r="P70" s="3" t="s">
        <v>655</v>
      </c>
      <c r="Q70" s="2"/>
      <c r="R70" s="2"/>
      <c r="S70" s="2"/>
      <c r="T70" s="2"/>
      <c r="U70" s="2"/>
      <c r="V70" s="2"/>
      <c r="W70" s="2"/>
      <c r="X70" s="2"/>
      <c r="Y70" s="2"/>
    </row>
    <row r="71">
      <c r="A71" s="5" t="str">
        <f>IFERROR(__xludf.DUMMYFUNCTION("LEFT(A70, 4) &amp; TEXT(VALUE(REGEXEXTRACT(A70, ""\d+"")) + 1, ""0000"")"),"KIN-0069")</f>
        <v>KIN-0069</v>
      </c>
      <c r="B71" s="3" t="s">
        <v>581</v>
      </c>
      <c r="C71" s="3" t="s">
        <v>653</v>
      </c>
      <c r="D71" s="2" t="str">
        <f t="shared" si="1"/>
        <v>TELETRANSPORTAR OUTRO | MD</v>
      </c>
      <c r="E71" s="3" t="s">
        <v>94</v>
      </c>
      <c r="F71" s="3" t="s">
        <v>30</v>
      </c>
      <c r="G71" s="3" t="s">
        <v>638</v>
      </c>
      <c r="H71" s="3" t="s">
        <v>654</v>
      </c>
      <c r="I71" s="3" t="s">
        <v>117</v>
      </c>
      <c r="J71" s="3" t="s">
        <v>131</v>
      </c>
      <c r="K71" s="3" t="s">
        <v>95</v>
      </c>
      <c r="L71" s="7" t="s">
        <v>182</v>
      </c>
      <c r="M71" s="3" t="s">
        <v>124</v>
      </c>
      <c r="N71" s="3" t="s">
        <v>183</v>
      </c>
      <c r="O71" s="3" t="s">
        <v>23</v>
      </c>
      <c r="P71" s="3" t="s">
        <v>655</v>
      </c>
      <c r="Q71" s="2"/>
      <c r="R71" s="2"/>
      <c r="S71" s="2"/>
      <c r="T71" s="2"/>
      <c r="U71" s="2"/>
      <c r="V71" s="2"/>
      <c r="W71" s="2"/>
      <c r="X71" s="2"/>
      <c r="Y71" s="2"/>
    </row>
    <row r="72">
      <c r="A72" s="5" t="str">
        <f>IFERROR(__xludf.DUMMYFUNCTION("LEFT(A71, 4) &amp; TEXT(VALUE(REGEXEXTRACT(A71, ""\d+"")) + 1, ""0000"")"),"KIN-0070")</f>
        <v>KIN-0070</v>
      </c>
      <c r="B72" s="3" t="s">
        <v>581</v>
      </c>
      <c r="C72" s="3" t="s">
        <v>656</v>
      </c>
      <c r="D72" s="2" t="str">
        <f t="shared" si="1"/>
        <v>DOMO ANTI TELETRANSPORTE | D</v>
      </c>
      <c r="E72" s="3" t="s">
        <v>76</v>
      </c>
      <c r="F72" s="3" t="s">
        <v>21</v>
      </c>
      <c r="G72" s="3" t="s">
        <v>638</v>
      </c>
      <c r="H72" s="3" t="s">
        <v>33</v>
      </c>
      <c r="I72" s="3">
        <v>8.0</v>
      </c>
      <c r="J72" s="3" t="s">
        <v>126</v>
      </c>
      <c r="K72" s="3" t="s">
        <v>34</v>
      </c>
      <c r="L72" s="7" t="s">
        <v>65</v>
      </c>
      <c r="M72" s="3" t="s">
        <v>35</v>
      </c>
      <c r="N72" s="3" t="s">
        <v>125</v>
      </c>
      <c r="O72" s="3" t="s">
        <v>131</v>
      </c>
      <c r="P72" s="3" t="s">
        <v>657</v>
      </c>
      <c r="Q72" s="3" t="s">
        <v>658</v>
      </c>
      <c r="R72" s="2"/>
      <c r="S72" s="2"/>
      <c r="T72" s="2"/>
      <c r="U72" s="2"/>
      <c r="V72" s="2"/>
      <c r="W72" s="2"/>
      <c r="X72" s="2"/>
      <c r="Y72" s="2"/>
    </row>
    <row r="73">
      <c r="A73" s="5" t="str">
        <f>IFERROR(__xludf.DUMMYFUNCTION("LEFT(A72, 4) &amp; TEXT(VALUE(REGEXEXTRACT(A72, ""\d+"")) + 1, ""0000"")"),"KIN-0071")</f>
        <v>KIN-0071</v>
      </c>
      <c r="B73" s="3" t="s">
        <v>581</v>
      </c>
      <c r="C73" s="3" t="s">
        <v>656</v>
      </c>
      <c r="D73" s="2" t="str">
        <f t="shared" si="1"/>
        <v>DOMO ANTI TELETRANSPORTE | D</v>
      </c>
      <c r="E73" s="3" t="s">
        <v>76</v>
      </c>
      <c r="F73" s="3" t="s">
        <v>27</v>
      </c>
      <c r="G73" s="3" t="s">
        <v>638</v>
      </c>
      <c r="H73" s="3" t="s">
        <v>33</v>
      </c>
      <c r="I73" s="3">
        <v>8.0</v>
      </c>
      <c r="J73" s="3" t="s">
        <v>126</v>
      </c>
      <c r="K73" s="3" t="s">
        <v>34</v>
      </c>
      <c r="L73" s="3" t="s">
        <v>35</v>
      </c>
      <c r="M73" s="3" t="s">
        <v>38</v>
      </c>
      <c r="N73" s="3" t="s">
        <v>128</v>
      </c>
      <c r="O73" s="3" t="s">
        <v>131</v>
      </c>
      <c r="P73" s="3" t="s">
        <v>657</v>
      </c>
      <c r="Q73" s="3" t="s">
        <v>658</v>
      </c>
      <c r="R73" s="2"/>
      <c r="S73" s="2"/>
      <c r="T73" s="2"/>
      <c r="U73" s="2"/>
      <c r="V73" s="2"/>
      <c r="W73" s="2"/>
      <c r="X73" s="2"/>
      <c r="Y73" s="2"/>
    </row>
    <row r="74">
      <c r="A74" s="5" t="str">
        <f>IFERROR(__xludf.DUMMYFUNCTION("LEFT(A73, 4) &amp; TEXT(VALUE(REGEXEXTRACT(A73, ""\d+"")) + 1, ""0000"")"),"KIN-0072")</f>
        <v>KIN-0072</v>
      </c>
      <c r="B74" s="3" t="s">
        <v>581</v>
      </c>
      <c r="C74" s="3" t="s">
        <v>656</v>
      </c>
      <c r="D74" s="2" t="str">
        <f t="shared" si="1"/>
        <v>DOMO ANTI TELETRANSPORTE | D</v>
      </c>
      <c r="E74" s="3" t="s">
        <v>76</v>
      </c>
      <c r="F74" s="3" t="s">
        <v>28</v>
      </c>
      <c r="G74" s="3" t="s">
        <v>638</v>
      </c>
      <c r="H74" s="3" t="s">
        <v>33</v>
      </c>
      <c r="I74" s="3">
        <v>8.0</v>
      </c>
      <c r="J74" s="3" t="s">
        <v>50</v>
      </c>
      <c r="K74" s="3" t="s">
        <v>34</v>
      </c>
      <c r="L74" s="3" t="s">
        <v>70</v>
      </c>
      <c r="M74" s="3" t="s">
        <v>39</v>
      </c>
      <c r="N74" s="3" t="s">
        <v>130</v>
      </c>
      <c r="O74" s="3" t="s">
        <v>136</v>
      </c>
      <c r="P74" s="3" t="s">
        <v>657</v>
      </c>
      <c r="Q74" s="3" t="s">
        <v>658</v>
      </c>
      <c r="R74" s="2"/>
      <c r="S74" s="2"/>
      <c r="T74" s="2"/>
      <c r="U74" s="2"/>
      <c r="V74" s="2"/>
      <c r="W74" s="2"/>
      <c r="X74" s="2"/>
      <c r="Y74" s="2"/>
    </row>
    <row r="75">
      <c r="A75" s="5" t="str">
        <f>IFERROR(__xludf.DUMMYFUNCTION("LEFT(A74, 4) &amp; TEXT(VALUE(REGEXEXTRACT(A74, ""\d+"")) + 1, ""0000"")"),"KIN-0073")</f>
        <v>KIN-0073</v>
      </c>
      <c r="B75" s="3" t="s">
        <v>581</v>
      </c>
      <c r="C75" s="3" t="s">
        <v>656</v>
      </c>
      <c r="D75" s="2" t="str">
        <f t="shared" si="1"/>
        <v>DOMO ANTI TELETRANSPORTE | D</v>
      </c>
      <c r="E75" s="3" t="s">
        <v>76</v>
      </c>
      <c r="F75" s="3" t="s">
        <v>29</v>
      </c>
      <c r="G75" s="3" t="s">
        <v>638</v>
      </c>
      <c r="H75" s="3" t="s">
        <v>33</v>
      </c>
      <c r="I75" s="3">
        <v>8.0</v>
      </c>
      <c r="J75" s="3" t="s">
        <v>50</v>
      </c>
      <c r="K75" s="3" t="s">
        <v>34</v>
      </c>
      <c r="L75" s="3" t="s">
        <v>72</v>
      </c>
      <c r="M75" s="3" t="s">
        <v>41</v>
      </c>
      <c r="N75" s="3" t="s">
        <v>133</v>
      </c>
      <c r="O75" s="3" t="s">
        <v>136</v>
      </c>
      <c r="P75" s="3" t="s">
        <v>657</v>
      </c>
      <c r="Q75" s="3" t="s">
        <v>658</v>
      </c>
      <c r="R75" s="2"/>
      <c r="S75" s="2"/>
      <c r="T75" s="2"/>
      <c r="U75" s="2"/>
      <c r="V75" s="2"/>
      <c r="W75" s="2"/>
      <c r="X75" s="2"/>
      <c r="Y75" s="2"/>
    </row>
    <row r="76">
      <c r="A76" s="5" t="str">
        <f>IFERROR(__xludf.DUMMYFUNCTION("LEFT(A75, 4) &amp; TEXT(VALUE(REGEXEXTRACT(A75, ""\d+"")) + 1, ""0000"")"),"KIN-0074")</f>
        <v>KIN-0074</v>
      </c>
      <c r="B76" s="3" t="s">
        <v>581</v>
      </c>
      <c r="C76" s="3" t="s">
        <v>656</v>
      </c>
      <c r="D76" s="2" t="str">
        <f t="shared" si="1"/>
        <v>DOMO ANTI TELETRANSPORTE | D</v>
      </c>
      <c r="E76" s="3" t="s">
        <v>76</v>
      </c>
      <c r="F76" s="3" t="s">
        <v>30</v>
      </c>
      <c r="G76" s="3" t="s">
        <v>638</v>
      </c>
      <c r="H76" s="3" t="s">
        <v>33</v>
      </c>
      <c r="I76" s="3">
        <v>8.0</v>
      </c>
      <c r="J76" s="3" t="s">
        <v>23</v>
      </c>
      <c r="K76" s="3" t="s">
        <v>34</v>
      </c>
      <c r="L76" s="3" t="s">
        <v>39</v>
      </c>
      <c r="M76" s="3" t="s">
        <v>42</v>
      </c>
      <c r="N76" s="3" t="s">
        <v>135</v>
      </c>
      <c r="O76" s="3" t="s">
        <v>659</v>
      </c>
      <c r="P76" s="3" t="s">
        <v>657</v>
      </c>
      <c r="Q76" s="3" t="s">
        <v>658</v>
      </c>
      <c r="R76" s="2"/>
      <c r="S76" s="2"/>
      <c r="T76" s="2"/>
      <c r="U76" s="2"/>
      <c r="V76" s="2"/>
      <c r="W76" s="2"/>
      <c r="X76" s="2"/>
      <c r="Y76" s="2"/>
    </row>
    <row r="77">
      <c r="A77" s="5" t="str">
        <f>IFERROR(__xludf.DUMMYFUNCTION("LEFT(A76, 4) &amp; TEXT(VALUE(REGEXEXTRACT(A76, ""\d+"")) + 1, ""0000"")"),"KIN-0075")</f>
        <v>KIN-0075</v>
      </c>
      <c r="B77" s="3" t="s">
        <v>581</v>
      </c>
      <c r="C77" s="3" t="s">
        <v>660</v>
      </c>
      <c r="D77" s="2" t="str">
        <f t="shared" si="1"/>
        <v>RASTREAR TELEPORTE | M</v>
      </c>
      <c r="E77" s="3" t="s">
        <v>48</v>
      </c>
      <c r="F77" s="3" t="s">
        <v>21</v>
      </c>
      <c r="G77" s="3" t="s">
        <v>638</v>
      </c>
      <c r="H77" s="3" t="s">
        <v>33</v>
      </c>
      <c r="I77" s="3">
        <v>4.0</v>
      </c>
      <c r="J77" s="3" t="s">
        <v>23</v>
      </c>
      <c r="K77" s="3" t="s">
        <v>34</v>
      </c>
      <c r="L77" s="7" t="s">
        <v>65</v>
      </c>
      <c r="M77" s="3" t="s">
        <v>35</v>
      </c>
      <c r="N77" s="3" t="s">
        <v>406</v>
      </c>
      <c r="O77" s="3" t="s">
        <v>23</v>
      </c>
      <c r="P77" s="3" t="s">
        <v>661</v>
      </c>
      <c r="Q77" s="3" t="s">
        <v>662</v>
      </c>
      <c r="R77" s="2"/>
      <c r="S77" s="2"/>
      <c r="T77" s="2"/>
      <c r="U77" s="2"/>
      <c r="V77" s="2"/>
      <c r="W77" s="2"/>
      <c r="X77" s="2"/>
      <c r="Y77" s="2"/>
    </row>
    <row r="78">
      <c r="A78" s="5" t="str">
        <f>IFERROR(__xludf.DUMMYFUNCTION("LEFT(A77, 4) &amp; TEXT(VALUE(REGEXEXTRACT(A77, ""\d+"")) + 1, ""0000"")"),"KIN-0076")</f>
        <v>KIN-0076</v>
      </c>
      <c r="B78" s="3" t="s">
        <v>581</v>
      </c>
      <c r="C78" s="3" t="s">
        <v>660</v>
      </c>
      <c r="D78" s="2" t="str">
        <f t="shared" si="1"/>
        <v>RASTREAR TELEPORTE | M</v>
      </c>
      <c r="E78" s="3" t="s">
        <v>48</v>
      </c>
      <c r="F78" s="3" t="s">
        <v>27</v>
      </c>
      <c r="G78" s="3" t="s">
        <v>638</v>
      </c>
      <c r="H78" s="3" t="s">
        <v>33</v>
      </c>
      <c r="I78" s="3">
        <v>4.0</v>
      </c>
      <c r="J78" s="3" t="s">
        <v>23</v>
      </c>
      <c r="K78" s="3" t="s">
        <v>34</v>
      </c>
      <c r="L78" s="3" t="s">
        <v>35</v>
      </c>
      <c r="M78" s="3" t="s">
        <v>38</v>
      </c>
      <c r="N78" s="3" t="s">
        <v>408</v>
      </c>
      <c r="O78" s="3" t="s">
        <v>23</v>
      </c>
      <c r="P78" s="3" t="s">
        <v>661</v>
      </c>
      <c r="Q78" s="3" t="s">
        <v>662</v>
      </c>
      <c r="R78" s="2"/>
      <c r="S78" s="2"/>
      <c r="T78" s="2"/>
      <c r="U78" s="2"/>
      <c r="V78" s="2"/>
      <c r="W78" s="2"/>
      <c r="X78" s="2"/>
      <c r="Y78" s="2"/>
    </row>
    <row r="79">
      <c r="A79" s="5" t="str">
        <f>IFERROR(__xludf.DUMMYFUNCTION("LEFT(A78, 4) &amp; TEXT(VALUE(REGEXEXTRACT(A78, ""\d+"")) + 1, ""0000"")"),"KIN-0077")</f>
        <v>KIN-0077</v>
      </c>
      <c r="B79" s="3" t="s">
        <v>581</v>
      </c>
      <c r="C79" s="3" t="s">
        <v>660</v>
      </c>
      <c r="D79" s="2" t="str">
        <f t="shared" si="1"/>
        <v>RASTREAR TELEPORTE | M</v>
      </c>
      <c r="E79" s="3" t="s">
        <v>48</v>
      </c>
      <c r="F79" s="3" t="s">
        <v>28</v>
      </c>
      <c r="G79" s="3" t="s">
        <v>638</v>
      </c>
      <c r="H79" s="3" t="s">
        <v>33</v>
      </c>
      <c r="I79" s="3">
        <v>4.0</v>
      </c>
      <c r="J79" s="3" t="s">
        <v>23</v>
      </c>
      <c r="K79" s="3" t="s">
        <v>34</v>
      </c>
      <c r="L79" s="3" t="s">
        <v>70</v>
      </c>
      <c r="M79" s="3" t="s">
        <v>39</v>
      </c>
      <c r="N79" s="3" t="s">
        <v>410</v>
      </c>
      <c r="O79" s="3" t="s">
        <v>23</v>
      </c>
      <c r="P79" s="3" t="s">
        <v>661</v>
      </c>
      <c r="Q79" s="3" t="s">
        <v>662</v>
      </c>
      <c r="R79" s="2"/>
      <c r="S79" s="2"/>
      <c r="T79" s="2"/>
      <c r="U79" s="2"/>
      <c r="V79" s="2"/>
      <c r="W79" s="2"/>
      <c r="X79" s="2"/>
      <c r="Y79" s="2"/>
    </row>
    <row r="80">
      <c r="A80" s="5" t="str">
        <f>IFERROR(__xludf.DUMMYFUNCTION("LEFT(A79, 4) &amp; TEXT(VALUE(REGEXEXTRACT(A79, ""\d+"")) + 1, ""0000"")"),"KIN-0078")</f>
        <v>KIN-0078</v>
      </c>
      <c r="B80" s="3" t="s">
        <v>581</v>
      </c>
      <c r="C80" s="3" t="s">
        <v>660</v>
      </c>
      <c r="D80" s="2" t="str">
        <f t="shared" si="1"/>
        <v>RASTREAR TELEPORTE | M</v>
      </c>
      <c r="E80" s="3" t="s">
        <v>48</v>
      </c>
      <c r="F80" s="3" t="s">
        <v>29</v>
      </c>
      <c r="G80" s="3" t="s">
        <v>638</v>
      </c>
      <c r="H80" s="3" t="s">
        <v>33</v>
      </c>
      <c r="I80" s="3">
        <v>4.0</v>
      </c>
      <c r="J80" s="3" t="s">
        <v>23</v>
      </c>
      <c r="K80" s="3" t="s">
        <v>34</v>
      </c>
      <c r="L80" s="3" t="s">
        <v>72</v>
      </c>
      <c r="M80" s="3" t="s">
        <v>41</v>
      </c>
      <c r="N80" s="3" t="s">
        <v>412</v>
      </c>
      <c r="O80" s="3" t="s">
        <v>23</v>
      </c>
      <c r="P80" s="3" t="s">
        <v>661</v>
      </c>
      <c r="Q80" s="3" t="s">
        <v>662</v>
      </c>
      <c r="R80" s="2"/>
      <c r="S80" s="2"/>
      <c r="T80" s="2"/>
      <c r="U80" s="2"/>
      <c r="V80" s="2"/>
      <c r="W80" s="2"/>
      <c r="X80" s="2"/>
      <c r="Y80" s="2"/>
    </row>
    <row r="81">
      <c r="A81" s="5" t="str">
        <f>IFERROR(__xludf.DUMMYFUNCTION("LEFT(A80, 4) &amp; TEXT(VALUE(REGEXEXTRACT(A80, ""\d+"")) + 1, ""0000"")"),"KIN-0079")</f>
        <v>KIN-0079</v>
      </c>
      <c r="B81" s="3" t="s">
        <v>581</v>
      </c>
      <c r="C81" s="3" t="s">
        <v>660</v>
      </c>
      <c r="D81" s="2" t="str">
        <f t="shared" si="1"/>
        <v>RASTREAR TELEPORTE | M</v>
      </c>
      <c r="E81" s="3" t="s">
        <v>48</v>
      </c>
      <c r="F81" s="3" t="s">
        <v>30</v>
      </c>
      <c r="G81" s="3" t="s">
        <v>638</v>
      </c>
      <c r="H81" s="3" t="s">
        <v>33</v>
      </c>
      <c r="I81" s="3">
        <v>4.0</v>
      </c>
      <c r="J81" s="3" t="s">
        <v>23</v>
      </c>
      <c r="K81" s="3" t="s">
        <v>34</v>
      </c>
      <c r="L81" s="3" t="s">
        <v>39</v>
      </c>
      <c r="M81" s="3" t="s">
        <v>42</v>
      </c>
      <c r="N81" s="3" t="s">
        <v>353</v>
      </c>
      <c r="O81" s="3" t="s">
        <v>23</v>
      </c>
      <c r="P81" s="3" t="s">
        <v>661</v>
      </c>
      <c r="Q81" s="3" t="s">
        <v>662</v>
      </c>
      <c r="R81" s="2"/>
      <c r="S81" s="2"/>
      <c r="T81" s="2"/>
      <c r="U81" s="2"/>
      <c r="V81" s="2"/>
      <c r="W81" s="2"/>
      <c r="X81" s="2"/>
      <c r="Y81" s="2"/>
    </row>
    <row r="82">
      <c r="A82" s="5" t="str">
        <f>IFERROR(__xludf.DUMMYFUNCTION("LEFT(A81, 4) &amp; TEXT(VALUE(REGEXEXTRACT(A81, ""\d+"")) + 1, ""0000"")"),"KIN-0080")</f>
        <v>KIN-0080</v>
      </c>
      <c r="B82" s="3" t="s">
        <v>581</v>
      </c>
      <c r="C82" s="3" t="s">
        <v>663</v>
      </c>
      <c r="D82" s="2" t="str">
        <f t="shared" si="1"/>
        <v>PUXAR | M</v>
      </c>
      <c r="E82" s="3" t="s">
        <v>48</v>
      </c>
      <c r="F82" s="3" t="s">
        <v>21</v>
      </c>
      <c r="G82" s="3" t="s">
        <v>214</v>
      </c>
      <c r="H82" s="3" t="s">
        <v>33</v>
      </c>
      <c r="I82" s="3" t="s">
        <v>117</v>
      </c>
      <c r="J82" s="3" t="s">
        <v>23</v>
      </c>
      <c r="K82" s="3" t="s">
        <v>34</v>
      </c>
      <c r="L82" s="7" t="s">
        <v>65</v>
      </c>
      <c r="M82" s="3" t="s">
        <v>289</v>
      </c>
      <c r="N82" s="3" t="s">
        <v>125</v>
      </c>
      <c r="O82" s="3" t="s">
        <v>126</v>
      </c>
      <c r="P82" s="3" t="s">
        <v>664</v>
      </c>
      <c r="Q82" s="3" t="s">
        <v>665</v>
      </c>
      <c r="R82" s="2"/>
      <c r="S82" s="2"/>
      <c r="T82" s="2"/>
      <c r="U82" s="2"/>
      <c r="V82" s="2"/>
      <c r="W82" s="2"/>
      <c r="X82" s="2"/>
      <c r="Y82" s="2"/>
    </row>
    <row r="83">
      <c r="A83" s="5" t="str">
        <f>IFERROR(__xludf.DUMMYFUNCTION("LEFT(A82, 4) &amp; TEXT(VALUE(REGEXEXTRACT(A82, ""\d+"")) + 1, ""0000"")"),"KIN-0081")</f>
        <v>KIN-0081</v>
      </c>
      <c r="B83" s="3" t="s">
        <v>581</v>
      </c>
      <c r="C83" s="3" t="s">
        <v>663</v>
      </c>
      <c r="D83" s="2" t="str">
        <f t="shared" si="1"/>
        <v>PUXAR | M</v>
      </c>
      <c r="E83" s="3" t="s">
        <v>48</v>
      </c>
      <c r="F83" s="3" t="s">
        <v>27</v>
      </c>
      <c r="G83" s="3" t="s">
        <v>214</v>
      </c>
      <c r="H83" s="3" t="s">
        <v>33</v>
      </c>
      <c r="I83" s="3" t="s">
        <v>117</v>
      </c>
      <c r="J83" s="3" t="s">
        <v>23</v>
      </c>
      <c r="K83" s="3" t="s">
        <v>34</v>
      </c>
      <c r="L83" s="3" t="s">
        <v>35</v>
      </c>
      <c r="M83" s="3" t="s">
        <v>65</v>
      </c>
      <c r="N83" s="3" t="s">
        <v>128</v>
      </c>
      <c r="O83" s="3" t="s">
        <v>126</v>
      </c>
      <c r="P83" s="3" t="s">
        <v>664</v>
      </c>
      <c r="Q83" s="3" t="s">
        <v>665</v>
      </c>
      <c r="R83" s="2"/>
      <c r="S83" s="2"/>
      <c r="T83" s="2"/>
      <c r="U83" s="2"/>
      <c r="V83" s="2"/>
      <c r="W83" s="2"/>
      <c r="X83" s="2"/>
      <c r="Y83" s="2"/>
    </row>
    <row r="84">
      <c r="A84" s="5" t="str">
        <f>IFERROR(__xludf.DUMMYFUNCTION("LEFT(A83, 4) &amp; TEXT(VALUE(REGEXEXTRACT(A83, ""\d+"")) + 1, ""0000"")"),"KIN-0082")</f>
        <v>KIN-0082</v>
      </c>
      <c r="B84" s="3" t="s">
        <v>581</v>
      </c>
      <c r="C84" s="3" t="s">
        <v>663</v>
      </c>
      <c r="D84" s="2" t="str">
        <f t="shared" si="1"/>
        <v>PUXAR | M</v>
      </c>
      <c r="E84" s="3" t="s">
        <v>48</v>
      </c>
      <c r="F84" s="3" t="s">
        <v>28</v>
      </c>
      <c r="G84" s="3" t="s">
        <v>214</v>
      </c>
      <c r="H84" s="3" t="s">
        <v>33</v>
      </c>
      <c r="I84" s="3" t="s">
        <v>117</v>
      </c>
      <c r="J84" s="3" t="s">
        <v>23</v>
      </c>
      <c r="K84" s="3" t="s">
        <v>34</v>
      </c>
      <c r="L84" s="3" t="s">
        <v>70</v>
      </c>
      <c r="M84" s="3" t="s">
        <v>324</v>
      </c>
      <c r="N84" s="3" t="s">
        <v>130</v>
      </c>
      <c r="O84" s="3" t="s">
        <v>131</v>
      </c>
      <c r="P84" s="3" t="s">
        <v>666</v>
      </c>
      <c r="Q84" s="3" t="s">
        <v>665</v>
      </c>
      <c r="R84" s="2"/>
      <c r="S84" s="2"/>
      <c r="T84" s="2"/>
      <c r="U84" s="2"/>
      <c r="V84" s="2"/>
      <c r="W84" s="2"/>
      <c r="X84" s="2"/>
      <c r="Y84" s="2"/>
    </row>
    <row r="85">
      <c r="A85" s="5" t="str">
        <f>IFERROR(__xludf.DUMMYFUNCTION("LEFT(A84, 4) &amp; TEXT(VALUE(REGEXEXTRACT(A84, ""\d+"")) + 1, ""0000"")"),"KIN-0083")</f>
        <v>KIN-0083</v>
      </c>
      <c r="B85" s="3" t="s">
        <v>581</v>
      </c>
      <c r="C85" s="3" t="s">
        <v>663</v>
      </c>
      <c r="D85" s="2" t="str">
        <f t="shared" si="1"/>
        <v>PUXAR | M</v>
      </c>
      <c r="E85" s="3" t="s">
        <v>48</v>
      </c>
      <c r="F85" s="3" t="s">
        <v>29</v>
      </c>
      <c r="G85" s="3" t="s">
        <v>214</v>
      </c>
      <c r="H85" s="3" t="s">
        <v>33</v>
      </c>
      <c r="I85" s="3" t="s">
        <v>117</v>
      </c>
      <c r="J85" s="3" t="s">
        <v>23</v>
      </c>
      <c r="K85" s="3" t="s">
        <v>34</v>
      </c>
      <c r="L85" s="3" t="s">
        <v>72</v>
      </c>
      <c r="M85" s="3" t="s">
        <v>35</v>
      </c>
      <c r="N85" s="3" t="s">
        <v>133</v>
      </c>
      <c r="O85" s="3" t="s">
        <v>131</v>
      </c>
      <c r="P85" s="3" t="s">
        <v>666</v>
      </c>
      <c r="Q85" s="3" t="s">
        <v>665</v>
      </c>
      <c r="R85" s="2"/>
      <c r="S85" s="2"/>
      <c r="T85" s="2"/>
      <c r="U85" s="2"/>
      <c r="V85" s="2"/>
      <c r="W85" s="2"/>
      <c r="X85" s="2"/>
      <c r="Y85" s="2"/>
    </row>
    <row r="86">
      <c r="A86" s="5" t="str">
        <f>IFERROR(__xludf.DUMMYFUNCTION("LEFT(A85, 4) &amp; TEXT(VALUE(REGEXEXTRACT(A85, ""\d+"")) + 1, ""0000"")"),"KIN-0084")</f>
        <v>KIN-0084</v>
      </c>
      <c r="B86" s="3" t="s">
        <v>581</v>
      </c>
      <c r="C86" s="3" t="s">
        <v>663</v>
      </c>
      <c r="D86" s="2" t="str">
        <f t="shared" si="1"/>
        <v>PUXAR | M</v>
      </c>
      <c r="E86" s="3" t="s">
        <v>48</v>
      </c>
      <c r="F86" s="3" t="s">
        <v>30</v>
      </c>
      <c r="G86" s="3" t="s">
        <v>214</v>
      </c>
      <c r="H86" s="3" t="s">
        <v>33</v>
      </c>
      <c r="I86" s="3" t="s">
        <v>117</v>
      </c>
      <c r="J86" s="3" t="s">
        <v>23</v>
      </c>
      <c r="K86" s="3" t="s">
        <v>34</v>
      </c>
      <c r="L86" s="3" t="s">
        <v>39</v>
      </c>
      <c r="M86" s="3" t="s">
        <v>510</v>
      </c>
      <c r="N86" s="3" t="s">
        <v>135</v>
      </c>
      <c r="O86" s="3" t="s">
        <v>136</v>
      </c>
      <c r="P86" s="3" t="s">
        <v>667</v>
      </c>
      <c r="Q86" s="3" t="s">
        <v>665</v>
      </c>
      <c r="R86" s="2"/>
      <c r="S86" s="2"/>
      <c r="T86" s="2"/>
      <c r="U86" s="2"/>
      <c r="V86" s="2"/>
      <c r="W86" s="2"/>
      <c r="X86" s="2"/>
      <c r="Y86" s="2"/>
    </row>
    <row r="87">
      <c r="A87" s="5" t="str">
        <f>IFERROR(__xludf.DUMMYFUNCTION("LEFT(A86, 4) &amp; TEXT(VALUE(REGEXEXTRACT(A86, ""\d+"")) + 1, ""0000"")"),"KIN-0085")</f>
        <v>KIN-0085</v>
      </c>
      <c r="B87" s="3" t="s">
        <v>581</v>
      </c>
      <c r="C87" s="3" t="s">
        <v>668</v>
      </c>
      <c r="D87" s="2" t="str">
        <f t="shared" si="1"/>
        <v>EMPURRAR | M</v>
      </c>
      <c r="E87" s="3" t="s">
        <v>48</v>
      </c>
      <c r="F87" s="3" t="s">
        <v>21</v>
      </c>
      <c r="G87" s="3" t="s">
        <v>214</v>
      </c>
      <c r="H87" s="3" t="s">
        <v>33</v>
      </c>
      <c r="I87" s="3" t="s">
        <v>117</v>
      </c>
      <c r="J87" s="3" t="s">
        <v>23</v>
      </c>
      <c r="K87" s="3" t="s">
        <v>34</v>
      </c>
      <c r="L87" s="7" t="s">
        <v>65</v>
      </c>
      <c r="M87" s="3" t="s">
        <v>289</v>
      </c>
      <c r="N87" s="3" t="s">
        <v>125</v>
      </c>
      <c r="O87" s="3" t="s">
        <v>126</v>
      </c>
      <c r="P87" s="3" t="s">
        <v>669</v>
      </c>
      <c r="Q87" s="2"/>
      <c r="R87" s="2"/>
      <c r="S87" s="2"/>
      <c r="T87" s="2"/>
      <c r="U87" s="2"/>
      <c r="V87" s="2"/>
      <c r="W87" s="2"/>
      <c r="X87" s="2"/>
      <c r="Y87" s="2"/>
    </row>
    <row r="88">
      <c r="A88" s="5" t="str">
        <f>IFERROR(__xludf.DUMMYFUNCTION("LEFT(A87, 4) &amp; TEXT(VALUE(REGEXEXTRACT(A87, ""\d+"")) + 1, ""0000"")"),"KIN-0086")</f>
        <v>KIN-0086</v>
      </c>
      <c r="B88" s="3" t="s">
        <v>581</v>
      </c>
      <c r="C88" s="3" t="s">
        <v>668</v>
      </c>
      <c r="D88" s="2" t="str">
        <f t="shared" si="1"/>
        <v>EMPURRAR | M</v>
      </c>
      <c r="E88" s="3" t="s">
        <v>48</v>
      </c>
      <c r="F88" s="3" t="s">
        <v>27</v>
      </c>
      <c r="G88" s="3" t="s">
        <v>214</v>
      </c>
      <c r="H88" s="3" t="s">
        <v>33</v>
      </c>
      <c r="I88" s="3" t="s">
        <v>117</v>
      </c>
      <c r="J88" s="3" t="s">
        <v>23</v>
      </c>
      <c r="K88" s="3" t="s">
        <v>34</v>
      </c>
      <c r="L88" s="3" t="s">
        <v>35</v>
      </c>
      <c r="M88" s="3" t="s">
        <v>65</v>
      </c>
      <c r="N88" s="3" t="s">
        <v>128</v>
      </c>
      <c r="O88" s="3" t="s">
        <v>126</v>
      </c>
      <c r="P88" s="3" t="s">
        <v>669</v>
      </c>
      <c r="Q88" s="2"/>
      <c r="R88" s="2"/>
      <c r="S88" s="2"/>
      <c r="T88" s="2"/>
      <c r="U88" s="2"/>
      <c r="V88" s="2"/>
      <c r="W88" s="2"/>
      <c r="X88" s="2"/>
      <c r="Y88" s="2"/>
    </row>
    <row r="89">
      <c r="A89" s="5" t="str">
        <f>IFERROR(__xludf.DUMMYFUNCTION("LEFT(A88, 4) &amp; TEXT(VALUE(REGEXEXTRACT(A88, ""\d+"")) + 1, ""0000"")"),"KIN-0087")</f>
        <v>KIN-0087</v>
      </c>
      <c r="B89" s="3" t="s">
        <v>581</v>
      </c>
      <c r="C89" s="3" t="s">
        <v>668</v>
      </c>
      <c r="D89" s="2" t="str">
        <f t="shared" si="1"/>
        <v>EMPURRAR | M</v>
      </c>
      <c r="E89" s="3" t="s">
        <v>48</v>
      </c>
      <c r="F89" s="3" t="s">
        <v>28</v>
      </c>
      <c r="G89" s="3" t="s">
        <v>214</v>
      </c>
      <c r="H89" s="3" t="s">
        <v>33</v>
      </c>
      <c r="I89" s="3" t="s">
        <v>117</v>
      </c>
      <c r="J89" s="3" t="s">
        <v>23</v>
      </c>
      <c r="K89" s="3" t="s">
        <v>34</v>
      </c>
      <c r="L89" s="3" t="s">
        <v>70</v>
      </c>
      <c r="M89" s="3" t="s">
        <v>324</v>
      </c>
      <c r="N89" s="3" t="s">
        <v>130</v>
      </c>
      <c r="O89" s="3" t="s">
        <v>131</v>
      </c>
      <c r="P89" s="3" t="s">
        <v>669</v>
      </c>
      <c r="Q89" s="2"/>
      <c r="R89" s="2"/>
      <c r="S89" s="2"/>
      <c r="T89" s="2"/>
      <c r="U89" s="2"/>
      <c r="V89" s="2"/>
      <c r="W89" s="2"/>
      <c r="X89" s="2"/>
      <c r="Y89" s="2"/>
    </row>
    <row r="90">
      <c r="A90" s="5" t="str">
        <f>IFERROR(__xludf.DUMMYFUNCTION("LEFT(A89, 4) &amp; TEXT(VALUE(REGEXEXTRACT(A89, ""\d+"")) + 1, ""0000"")"),"KIN-0088")</f>
        <v>KIN-0088</v>
      </c>
      <c r="B90" s="3" t="s">
        <v>581</v>
      </c>
      <c r="C90" s="3" t="s">
        <v>668</v>
      </c>
      <c r="D90" s="2" t="str">
        <f t="shared" si="1"/>
        <v>EMPURRAR | M</v>
      </c>
      <c r="E90" s="3" t="s">
        <v>48</v>
      </c>
      <c r="F90" s="3" t="s">
        <v>29</v>
      </c>
      <c r="G90" s="3" t="s">
        <v>214</v>
      </c>
      <c r="H90" s="3" t="s">
        <v>33</v>
      </c>
      <c r="I90" s="3" t="s">
        <v>117</v>
      </c>
      <c r="J90" s="3" t="s">
        <v>23</v>
      </c>
      <c r="K90" s="3" t="s">
        <v>34</v>
      </c>
      <c r="L90" s="3" t="s">
        <v>72</v>
      </c>
      <c r="M90" s="3" t="s">
        <v>35</v>
      </c>
      <c r="N90" s="3" t="s">
        <v>133</v>
      </c>
      <c r="O90" s="3" t="s">
        <v>131</v>
      </c>
      <c r="P90" s="3" t="s">
        <v>669</v>
      </c>
      <c r="Q90" s="2"/>
      <c r="R90" s="2"/>
      <c r="S90" s="2"/>
      <c r="T90" s="2"/>
      <c r="U90" s="2"/>
      <c r="V90" s="2"/>
      <c r="W90" s="2"/>
      <c r="X90" s="2"/>
      <c r="Y90" s="2"/>
    </row>
    <row r="91">
      <c r="A91" s="5" t="str">
        <f>IFERROR(__xludf.DUMMYFUNCTION("LEFT(A90, 4) &amp; TEXT(VALUE(REGEXEXTRACT(A90, ""\d+"")) + 1, ""0000"")"),"KIN-0089")</f>
        <v>KIN-0089</v>
      </c>
      <c r="B91" s="3" t="s">
        <v>581</v>
      </c>
      <c r="C91" s="3" t="s">
        <v>668</v>
      </c>
      <c r="D91" s="2" t="str">
        <f t="shared" si="1"/>
        <v>EMPURRAR | M</v>
      </c>
      <c r="E91" s="3" t="s">
        <v>48</v>
      </c>
      <c r="F91" s="3" t="s">
        <v>30</v>
      </c>
      <c r="G91" s="3" t="s">
        <v>214</v>
      </c>
      <c r="H91" s="3" t="s">
        <v>33</v>
      </c>
      <c r="I91" s="3" t="s">
        <v>117</v>
      </c>
      <c r="J91" s="3" t="s">
        <v>23</v>
      </c>
      <c r="K91" s="3" t="s">
        <v>34</v>
      </c>
      <c r="L91" s="3" t="s">
        <v>39</v>
      </c>
      <c r="M91" s="3" t="s">
        <v>510</v>
      </c>
      <c r="N91" s="3" t="s">
        <v>135</v>
      </c>
      <c r="O91" s="3" t="s">
        <v>136</v>
      </c>
      <c r="P91" s="3" t="s">
        <v>669</v>
      </c>
      <c r="Q91" s="2"/>
      <c r="R91" s="2"/>
      <c r="S91" s="2"/>
      <c r="T91" s="2"/>
      <c r="U91" s="2"/>
      <c r="V91" s="2"/>
      <c r="W91" s="2"/>
      <c r="X91" s="2"/>
      <c r="Y91" s="2"/>
    </row>
    <row r="92">
      <c r="A92" s="5" t="str">
        <f>IFERROR(__xludf.DUMMYFUNCTION("LEFT(A91, 4) &amp; TEXT(VALUE(REGEXEXTRACT(A91, ""\d+"")) + 1, ""0000"")"),"KIN-0090")</f>
        <v>KIN-0090</v>
      </c>
      <c r="B92" s="3" t="s">
        <v>581</v>
      </c>
      <c r="C92" s="3" t="s">
        <v>670</v>
      </c>
      <c r="D92" s="2" t="str">
        <f t="shared" si="1"/>
        <v>PULAR | F</v>
      </c>
      <c r="E92" s="3" t="s">
        <v>20</v>
      </c>
      <c r="F92" s="3" t="s">
        <v>21</v>
      </c>
      <c r="G92" s="3" t="s">
        <v>671</v>
      </c>
      <c r="H92" s="3" t="s">
        <v>33</v>
      </c>
      <c r="I92" s="3">
        <v>2.0</v>
      </c>
      <c r="J92" s="3" t="s">
        <v>23</v>
      </c>
      <c r="K92" s="3" t="s">
        <v>95</v>
      </c>
      <c r="L92" s="7" t="s">
        <v>65</v>
      </c>
      <c r="M92" s="3" t="s">
        <v>124</v>
      </c>
      <c r="N92" s="3" t="s">
        <v>51</v>
      </c>
      <c r="O92" s="3" t="s">
        <v>52</v>
      </c>
      <c r="P92" s="3" t="s">
        <v>672</v>
      </c>
      <c r="Q92" s="2"/>
      <c r="R92" s="2"/>
      <c r="S92" s="2"/>
      <c r="T92" s="2"/>
      <c r="U92" s="2"/>
      <c r="V92" s="2"/>
      <c r="W92" s="2"/>
      <c r="X92" s="2"/>
      <c r="Y92" s="2"/>
    </row>
    <row r="93">
      <c r="A93" s="5" t="str">
        <f>IFERROR(__xludf.DUMMYFUNCTION("LEFT(A92, 4) &amp; TEXT(VALUE(REGEXEXTRACT(A92, ""\d+"")) + 1, ""0000"")"),"KIN-0091")</f>
        <v>KIN-0091</v>
      </c>
      <c r="B93" s="3" t="s">
        <v>581</v>
      </c>
      <c r="C93" s="3" t="s">
        <v>670</v>
      </c>
      <c r="D93" s="2" t="str">
        <f t="shared" si="1"/>
        <v>PULAR | F</v>
      </c>
      <c r="E93" s="3" t="s">
        <v>20</v>
      </c>
      <c r="F93" s="3" t="s">
        <v>27</v>
      </c>
      <c r="G93" s="3" t="s">
        <v>671</v>
      </c>
      <c r="H93" s="3" t="s">
        <v>33</v>
      </c>
      <c r="I93" s="3">
        <v>2.0</v>
      </c>
      <c r="J93" s="3" t="s">
        <v>23</v>
      </c>
      <c r="K93" s="3" t="s">
        <v>95</v>
      </c>
      <c r="L93" s="3" t="s">
        <v>35</v>
      </c>
      <c r="M93" s="3" t="s">
        <v>124</v>
      </c>
      <c r="N93" s="3" t="s">
        <v>51</v>
      </c>
      <c r="O93" s="3" t="s">
        <v>55</v>
      </c>
      <c r="P93" s="3" t="s">
        <v>672</v>
      </c>
      <c r="Q93" s="2"/>
      <c r="R93" s="2"/>
      <c r="S93" s="2"/>
      <c r="T93" s="2"/>
      <c r="U93" s="2"/>
      <c r="V93" s="2"/>
      <c r="W93" s="2"/>
      <c r="X93" s="2"/>
      <c r="Y93" s="2"/>
    </row>
    <row r="94">
      <c r="A94" s="5" t="str">
        <f>IFERROR(__xludf.DUMMYFUNCTION("LEFT(A93, 4) &amp; TEXT(VALUE(REGEXEXTRACT(A93, ""\d+"")) + 1, ""0000"")"),"KIN-0092")</f>
        <v>KIN-0092</v>
      </c>
      <c r="B94" s="3" t="s">
        <v>581</v>
      </c>
      <c r="C94" s="3" t="s">
        <v>670</v>
      </c>
      <c r="D94" s="2" t="str">
        <f t="shared" si="1"/>
        <v>PULAR | F</v>
      </c>
      <c r="E94" s="3" t="s">
        <v>20</v>
      </c>
      <c r="F94" s="3" t="s">
        <v>28</v>
      </c>
      <c r="G94" s="3" t="s">
        <v>671</v>
      </c>
      <c r="H94" s="3" t="s">
        <v>33</v>
      </c>
      <c r="I94" s="3">
        <v>2.0</v>
      </c>
      <c r="J94" s="3" t="s">
        <v>23</v>
      </c>
      <c r="K94" s="3" t="s">
        <v>95</v>
      </c>
      <c r="L94" s="3" t="s">
        <v>70</v>
      </c>
      <c r="M94" s="3" t="s">
        <v>124</v>
      </c>
      <c r="N94" s="3" t="s">
        <v>56</v>
      </c>
      <c r="O94" s="3" t="s">
        <v>57</v>
      </c>
      <c r="P94" s="3" t="s">
        <v>672</v>
      </c>
      <c r="Q94" s="2"/>
      <c r="R94" s="2"/>
      <c r="S94" s="2"/>
      <c r="T94" s="2"/>
      <c r="U94" s="2"/>
      <c r="V94" s="2"/>
      <c r="W94" s="2"/>
      <c r="X94" s="2"/>
      <c r="Y94" s="2"/>
    </row>
    <row r="95">
      <c r="A95" s="5" t="str">
        <f>IFERROR(__xludf.DUMMYFUNCTION("LEFT(A94, 4) &amp; TEXT(VALUE(REGEXEXTRACT(A94, ""\d+"")) + 1, ""0000"")"),"KIN-0093")</f>
        <v>KIN-0093</v>
      </c>
      <c r="B95" s="3" t="s">
        <v>581</v>
      </c>
      <c r="C95" s="3" t="s">
        <v>670</v>
      </c>
      <c r="D95" s="2" t="str">
        <f t="shared" si="1"/>
        <v>PULAR | F</v>
      </c>
      <c r="E95" s="3" t="s">
        <v>20</v>
      </c>
      <c r="F95" s="3" t="s">
        <v>29</v>
      </c>
      <c r="G95" s="3" t="s">
        <v>671</v>
      </c>
      <c r="H95" s="3" t="s">
        <v>33</v>
      </c>
      <c r="I95" s="3">
        <v>2.0</v>
      </c>
      <c r="J95" s="3" t="s">
        <v>23</v>
      </c>
      <c r="K95" s="3" t="s">
        <v>95</v>
      </c>
      <c r="L95" s="3" t="s">
        <v>72</v>
      </c>
      <c r="M95" s="3" t="s">
        <v>124</v>
      </c>
      <c r="N95" s="3" t="s">
        <v>58</v>
      </c>
      <c r="O95" s="3" t="s">
        <v>59</v>
      </c>
      <c r="P95" s="3" t="s">
        <v>672</v>
      </c>
      <c r="Q95" s="2"/>
      <c r="R95" s="2"/>
      <c r="S95" s="2"/>
      <c r="T95" s="2"/>
      <c r="U95" s="2"/>
      <c r="V95" s="2"/>
      <c r="W95" s="2"/>
      <c r="X95" s="2"/>
      <c r="Y95" s="2"/>
    </row>
    <row r="96">
      <c r="A96" s="5" t="str">
        <f>IFERROR(__xludf.DUMMYFUNCTION("LEFT(A95, 4) &amp; TEXT(VALUE(REGEXEXTRACT(A95, ""\d+"")) + 1, ""0000"")"),"KIN-0094")</f>
        <v>KIN-0094</v>
      </c>
      <c r="B96" s="3" t="s">
        <v>581</v>
      </c>
      <c r="C96" s="3" t="s">
        <v>670</v>
      </c>
      <c r="D96" s="2" t="str">
        <f t="shared" si="1"/>
        <v>PULAR | F</v>
      </c>
      <c r="E96" s="3" t="s">
        <v>20</v>
      </c>
      <c r="F96" s="3" t="s">
        <v>30</v>
      </c>
      <c r="G96" s="3" t="s">
        <v>671</v>
      </c>
      <c r="H96" s="3" t="s">
        <v>33</v>
      </c>
      <c r="I96" s="3">
        <v>2.0</v>
      </c>
      <c r="J96" s="3" t="s">
        <v>23</v>
      </c>
      <c r="K96" s="3" t="s">
        <v>95</v>
      </c>
      <c r="L96" s="3" t="s">
        <v>39</v>
      </c>
      <c r="M96" s="3" t="s">
        <v>124</v>
      </c>
      <c r="N96" s="3" t="s">
        <v>60</v>
      </c>
      <c r="O96" s="3" t="s">
        <v>61</v>
      </c>
      <c r="P96" s="3" t="s">
        <v>672</v>
      </c>
      <c r="Q96" s="2"/>
      <c r="R96" s="2"/>
      <c r="S96" s="2"/>
      <c r="T96" s="2"/>
      <c r="U96" s="2"/>
      <c r="V96" s="2"/>
      <c r="W96" s="2"/>
      <c r="X96" s="2"/>
      <c r="Y96" s="2"/>
    </row>
    <row r="97">
      <c r="A97" s="5" t="str">
        <f>IFERROR(__xludf.DUMMYFUNCTION("LEFT(A96, 4) &amp; TEXT(VALUE(REGEXEXTRACT(A96, ""\d+"")) + 1, ""0000"")"),"KIN-0095")</f>
        <v>KIN-0095</v>
      </c>
      <c r="B97" s="3" t="s">
        <v>581</v>
      </c>
      <c r="C97" s="3" t="s">
        <v>673</v>
      </c>
      <c r="D97" s="2" t="str">
        <f t="shared" si="1"/>
        <v>DOWNHILL | F</v>
      </c>
      <c r="E97" s="3" t="s">
        <v>20</v>
      </c>
      <c r="F97" s="3" t="s">
        <v>21</v>
      </c>
      <c r="G97" s="3" t="s">
        <v>671</v>
      </c>
      <c r="H97" s="3" t="s">
        <v>33</v>
      </c>
      <c r="I97" s="3">
        <v>2.0</v>
      </c>
      <c r="J97" s="3" t="s">
        <v>50</v>
      </c>
      <c r="K97" s="3" t="s">
        <v>95</v>
      </c>
      <c r="L97" s="7" t="s">
        <v>65</v>
      </c>
      <c r="M97" s="3" t="s">
        <v>124</v>
      </c>
      <c r="N97" s="3" t="s">
        <v>36</v>
      </c>
      <c r="O97" s="3" t="s">
        <v>674</v>
      </c>
      <c r="P97" s="3" t="s">
        <v>675</v>
      </c>
      <c r="Q97" s="3" t="s">
        <v>676</v>
      </c>
      <c r="R97" s="2"/>
      <c r="S97" s="2"/>
      <c r="T97" s="2"/>
      <c r="U97" s="2"/>
      <c r="V97" s="2"/>
      <c r="W97" s="2"/>
      <c r="X97" s="2"/>
      <c r="Y97" s="2"/>
    </row>
    <row r="98">
      <c r="A98" s="5" t="str">
        <f>IFERROR(__xludf.DUMMYFUNCTION("LEFT(A97, 4) &amp; TEXT(VALUE(REGEXEXTRACT(A97, ""\d+"")) + 1, ""0000"")"),"KIN-0096")</f>
        <v>KIN-0096</v>
      </c>
      <c r="B98" s="3" t="s">
        <v>581</v>
      </c>
      <c r="C98" s="3" t="s">
        <v>673</v>
      </c>
      <c r="D98" s="2" t="str">
        <f t="shared" si="1"/>
        <v>DOWNHILL | F</v>
      </c>
      <c r="E98" s="3" t="s">
        <v>20</v>
      </c>
      <c r="F98" s="3" t="s">
        <v>27</v>
      </c>
      <c r="G98" s="3" t="s">
        <v>671</v>
      </c>
      <c r="H98" s="3" t="s">
        <v>33</v>
      </c>
      <c r="I98" s="3">
        <v>2.0</v>
      </c>
      <c r="J98" s="3" t="s">
        <v>50</v>
      </c>
      <c r="K98" s="3" t="s">
        <v>95</v>
      </c>
      <c r="L98" s="3" t="s">
        <v>35</v>
      </c>
      <c r="M98" s="3" t="s">
        <v>124</v>
      </c>
      <c r="N98" s="3" t="s">
        <v>36</v>
      </c>
      <c r="O98" s="3" t="s">
        <v>674</v>
      </c>
      <c r="P98" s="3" t="s">
        <v>675</v>
      </c>
      <c r="Q98" s="3" t="s">
        <v>676</v>
      </c>
      <c r="R98" s="2"/>
      <c r="S98" s="2"/>
      <c r="T98" s="2"/>
      <c r="U98" s="2"/>
      <c r="V98" s="2"/>
      <c r="W98" s="2"/>
      <c r="X98" s="2"/>
      <c r="Y98" s="2"/>
    </row>
    <row r="99">
      <c r="A99" s="5" t="str">
        <f>IFERROR(__xludf.DUMMYFUNCTION("LEFT(A98, 4) &amp; TEXT(VALUE(REGEXEXTRACT(A98, ""\d+"")) + 1, ""0000"")"),"KIN-0097")</f>
        <v>KIN-0097</v>
      </c>
      <c r="B99" s="3" t="s">
        <v>581</v>
      </c>
      <c r="C99" s="3" t="s">
        <v>673</v>
      </c>
      <c r="D99" s="2" t="str">
        <f t="shared" si="1"/>
        <v>DOWNHILL | F</v>
      </c>
      <c r="E99" s="3" t="s">
        <v>20</v>
      </c>
      <c r="F99" s="3" t="s">
        <v>28</v>
      </c>
      <c r="G99" s="3" t="s">
        <v>671</v>
      </c>
      <c r="H99" s="3" t="s">
        <v>33</v>
      </c>
      <c r="I99" s="3">
        <v>2.0</v>
      </c>
      <c r="J99" s="3" t="s">
        <v>50</v>
      </c>
      <c r="K99" s="3" t="s">
        <v>95</v>
      </c>
      <c r="L99" s="3" t="s">
        <v>70</v>
      </c>
      <c r="M99" s="3" t="s">
        <v>124</v>
      </c>
      <c r="N99" s="3" t="s">
        <v>40</v>
      </c>
      <c r="O99" s="3" t="s">
        <v>674</v>
      </c>
      <c r="P99" s="3" t="s">
        <v>675</v>
      </c>
      <c r="Q99" s="3" t="s">
        <v>676</v>
      </c>
      <c r="R99" s="2"/>
      <c r="S99" s="2"/>
      <c r="T99" s="2"/>
      <c r="U99" s="2"/>
      <c r="V99" s="2"/>
      <c r="W99" s="2"/>
      <c r="X99" s="2"/>
      <c r="Y99" s="2"/>
    </row>
    <row r="100">
      <c r="A100" s="5" t="str">
        <f>IFERROR(__xludf.DUMMYFUNCTION("LEFT(A99, 4) &amp; TEXT(VALUE(REGEXEXTRACT(A99, ""\d+"")) + 1, ""0000"")"),"KIN-0098")</f>
        <v>KIN-0098</v>
      </c>
      <c r="B100" s="3" t="s">
        <v>581</v>
      </c>
      <c r="C100" s="3" t="s">
        <v>673</v>
      </c>
      <c r="D100" s="2" t="str">
        <f t="shared" si="1"/>
        <v>DOWNHILL | F</v>
      </c>
      <c r="E100" s="3" t="s">
        <v>20</v>
      </c>
      <c r="F100" s="3" t="s">
        <v>29</v>
      </c>
      <c r="G100" s="3" t="s">
        <v>671</v>
      </c>
      <c r="H100" s="3" t="s">
        <v>33</v>
      </c>
      <c r="I100" s="3">
        <v>2.0</v>
      </c>
      <c r="J100" s="3" t="s">
        <v>50</v>
      </c>
      <c r="K100" s="3" t="s">
        <v>95</v>
      </c>
      <c r="L100" s="3" t="s">
        <v>72</v>
      </c>
      <c r="M100" s="3" t="s">
        <v>124</v>
      </c>
      <c r="N100" s="3" t="s">
        <v>40</v>
      </c>
      <c r="O100" s="3" t="s">
        <v>674</v>
      </c>
      <c r="P100" s="3" t="s">
        <v>675</v>
      </c>
      <c r="Q100" s="3" t="s">
        <v>676</v>
      </c>
      <c r="R100" s="2"/>
      <c r="S100" s="2"/>
      <c r="T100" s="2"/>
      <c r="U100" s="2"/>
      <c r="V100" s="2"/>
      <c r="W100" s="2"/>
      <c r="X100" s="2"/>
      <c r="Y100" s="2"/>
    </row>
    <row r="101">
      <c r="A101" s="5" t="str">
        <f>IFERROR(__xludf.DUMMYFUNCTION("LEFT(A100, 4) &amp; TEXT(VALUE(REGEXEXTRACT(A100, ""\d+"")) + 1, ""0000"")"),"KIN-0099")</f>
        <v>KIN-0099</v>
      </c>
      <c r="B101" s="3" t="s">
        <v>581</v>
      </c>
      <c r="C101" s="3" t="s">
        <v>673</v>
      </c>
      <c r="D101" s="2" t="str">
        <f t="shared" si="1"/>
        <v>DOWNHILL | F</v>
      </c>
      <c r="E101" s="3" t="s">
        <v>20</v>
      </c>
      <c r="F101" s="3" t="s">
        <v>30</v>
      </c>
      <c r="G101" s="3" t="s">
        <v>671</v>
      </c>
      <c r="H101" s="3" t="s">
        <v>33</v>
      </c>
      <c r="I101" s="3">
        <v>2.0</v>
      </c>
      <c r="J101" s="3" t="s">
        <v>23</v>
      </c>
      <c r="K101" s="3" t="s">
        <v>95</v>
      </c>
      <c r="L101" s="3" t="s">
        <v>39</v>
      </c>
      <c r="M101" s="3" t="s">
        <v>124</v>
      </c>
      <c r="N101" s="3" t="s">
        <v>43</v>
      </c>
      <c r="O101" s="3" t="s">
        <v>674</v>
      </c>
      <c r="P101" s="3" t="s">
        <v>675</v>
      </c>
      <c r="Q101" s="3" t="s">
        <v>676</v>
      </c>
      <c r="R101" s="2"/>
      <c r="S101" s="2"/>
      <c r="T101" s="2"/>
      <c r="U101" s="2"/>
      <c r="V101" s="2"/>
      <c r="W101" s="2"/>
      <c r="X101" s="2"/>
      <c r="Y101" s="2"/>
    </row>
    <row r="102">
      <c r="A102" s="5" t="str">
        <f>IFERROR(__xludf.DUMMYFUNCTION("LEFT(A101, 4) &amp; TEXT(VALUE(REGEXEXTRACT(A101, ""\d+"")) + 1, ""0000"")"),"KIN-0100")</f>
        <v>KIN-0100</v>
      </c>
      <c r="B102" s="3" t="s">
        <v>581</v>
      </c>
      <c r="C102" s="3" t="s">
        <v>677</v>
      </c>
      <c r="D102" s="2" t="str">
        <f t="shared" si="1"/>
        <v>ESCALAR | M</v>
      </c>
      <c r="E102" s="3" t="s">
        <v>48</v>
      </c>
      <c r="F102" s="3" t="s">
        <v>21</v>
      </c>
      <c r="G102" s="3" t="s">
        <v>671</v>
      </c>
      <c r="H102" s="3" t="s">
        <v>33</v>
      </c>
      <c r="I102" s="3">
        <v>4.0</v>
      </c>
      <c r="J102" s="3" t="s">
        <v>23</v>
      </c>
      <c r="K102" s="3" t="s">
        <v>95</v>
      </c>
      <c r="L102" s="7" t="s">
        <v>65</v>
      </c>
      <c r="M102" s="3" t="s">
        <v>124</v>
      </c>
      <c r="N102" s="3" t="s">
        <v>51</v>
      </c>
      <c r="O102" s="3" t="s">
        <v>52</v>
      </c>
      <c r="P102" s="3" t="s">
        <v>678</v>
      </c>
      <c r="Q102" s="3"/>
      <c r="R102" s="2"/>
      <c r="S102" s="2"/>
      <c r="T102" s="2"/>
      <c r="U102" s="2"/>
      <c r="V102" s="2"/>
      <c r="W102" s="2"/>
      <c r="X102" s="2"/>
      <c r="Y102" s="2"/>
    </row>
    <row r="103">
      <c r="A103" s="5" t="str">
        <f>IFERROR(__xludf.DUMMYFUNCTION("LEFT(A102, 4) &amp; TEXT(VALUE(REGEXEXTRACT(A102, ""\d+"")) + 1, ""0000"")"),"KIN-0101")</f>
        <v>KIN-0101</v>
      </c>
      <c r="B103" s="3" t="s">
        <v>581</v>
      </c>
      <c r="C103" s="3" t="s">
        <v>677</v>
      </c>
      <c r="D103" s="2" t="str">
        <f t="shared" si="1"/>
        <v>ESCALAR | M</v>
      </c>
      <c r="E103" s="3" t="s">
        <v>48</v>
      </c>
      <c r="F103" s="3" t="s">
        <v>27</v>
      </c>
      <c r="G103" s="3" t="s">
        <v>671</v>
      </c>
      <c r="H103" s="3" t="s">
        <v>33</v>
      </c>
      <c r="I103" s="3">
        <v>4.0</v>
      </c>
      <c r="J103" s="3" t="s">
        <v>23</v>
      </c>
      <c r="K103" s="3" t="s">
        <v>95</v>
      </c>
      <c r="L103" s="3" t="s">
        <v>35</v>
      </c>
      <c r="M103" s="3" t="s">
        <v>124</v>
      </c>
      <c r="N103" s="3" t="s">
        <v>51</v>
      </c>
      <c r="O103" s="3" t="s">
        <v>55</v>
      </c>
      <c r="P103" s="3" t="s">
        <v>679</v>
      </c>
      <c r="Q103" s="3"/>
      <c r="R103" s="2"/>
      <c r="S103" s="2"/>
      <c r="T103" s="2"/>
      <c r="U103" s="2"/>
      <c r="V103" s="2"/>
      <c r="W103" s="2"/>
      <c r="X103" s="2"/>
      <c r="Y103" s="2"/>
    </row>
    <row r="104">
      <c r="A104" s="5" t="str">
        <f>IFERROR(__xludf.DUMMYFUNCTION("LEFT(A103, 4) &amp; TEXT(VALUE(REGEXEXTRACT(A103, ""\d+"")) + 1, ""0000"")"),"KIN-0102")</f>
        <v>KIN-0102</v>
      </c>
      <c r="B104" s="3" t="s">
        <v>581</v>
      </c>
      <c r="C104" s="3" t="s">
        <v>677</v>
      </c>
      <c r="D104" s="2" t="str">
        <f t="shared" si="1"/>
        <v>ESCALAR | M</v>
      </c>
      <c r="E104" s="3" t="s">
        <v>48</v>
      </c>
      <c r="F104" s="3" t="s">
        <v>28</v>
      </c>
      <c r="G104" s="3" t="s">
        <v>671</v>
      </c>
      <c r="H104" s="3" t="s">
        <v>33</v>
      </c>
      <c r="I104" s="3">
        <v>4.0</v>
      </c>
      <c r="J104" s="3" t="s">
        <v>23</v>
      </c>
      <c r="K104" s="3" t="s">
        <v>95</v>
      </c>
      <c r="L104" s="3" t="s">
        <v>70</v>
      </c>
      <c r="M104" s="3" t="s">
        <v>124</v>
      </c>
      <c r="N104" s="3" t="s">
        <v>56</v>
      </c>
      <c r="O104" s="3" t="s">
        <v>57</v>
      </c>
      <c r="P104" s="3" t="s">
        <v>680</v>
      </c>
      <c r="Q104" s="3"/>
      <c r="R104" s="2"/>
      <c r="S104" s="2"/>
      <c r="T104" s="2"/>
      <c r="U104" s="2"/>
      <c r="V104" s="2"/>
      <c r="W104" s="2"/>
      <c r="X104" s="2"/>
      <c r="Y104" s="2"/>
    </row>
    <row r="105">
      <c r="A105" s="5" t="str">
        <f>IFERROR(__xludf.DUMMYFUNCTION("LEFT(A104, 4) &amp; TEXT(VALUE(REGEXEXTRACT(A104, ""\d+"")) + 1, ""0000"")"),"KIN-0103")</f>
        <v>KIN-0103</v>
      </c>
      <c r="B105" s="3" t="s">
        <v>581</v>
      </c>
      <c r="C105" s="3" t="s">
        <v>677</v>
      </c>
      <c r="D105" s="2" t="str">
        <f t="shared" si="1"/>
        <v>ESCALAR | M</v>
      </c>
      <c r="E105" s="3" t="s">
        <v>48</v>
      </c>
      <c r="F105" s="3" t="s">
        <v>29</v>
      </c>
      <c r="G105" s="3" t="s">
        <v>671</v>
      </c>
      <c r="H105" s="3" t="s">
        <v>33</v>
      </c>
      <c r="I105" s="3">
        <v>4.0</v>
      </c>
      <c r="J105" s="3" t="s">
        <v>23</v>
      </c>
      <c r="K105" s="3" t="s">
        <v>95</v>
      </c>
      <c r="L105" s="3" t="s">
        <v>72</v>
      </c>
      <c r="M105" s="3" t="s">
        <v>124</v>
      </c>
      <c r="N105" s="3" t="s">
        <v>58</v>
      </c>
      <c r="O105" s="3" t="s">
        <v>59</v>
      </c>
      <c r="P105" s="3" t="s">
        <v>681</v>
      </c>
      <c r="Q105" s="3"/>
      <c r="R105" s="2"/>
      <c r="S105" s="2"/>
      <c r="T105" s="2"/>
      <c r="U105" s="2"/>
      <c r="V105" s="2"/>
      <c r="W105" s="2"/>
      <c r="X105" s="2"/>
      <c r="Y105" s="2"/>
    </row>
    <row r="106">
      <c r="A106" s="5" t="str">
        <f>IFERROR(__xludf.DUMMYFUNCTION("LEFT(A105, 4) &amp; TEXT(VALUE(REGEXEXTRACT(A105, ""\d+"")) + 1, ""0000"")"),"KIN-0104")</f>
        <v>KIN-0104</v>
      </c>
      <c r="B106" s="3" t="s">
        <v>581</v>
      </c>
      <c r="C106" s="3" t="s">
        <v>677</v>
      </c>
      <c r="D106" s="2" t="str">
        <f t="shared" si="1"/>
        <v>ESCALAR | M</v>
      </c>
      <c r="E106" s="3" t="s">
        <v>48</v>
      </c>
      <c r="F106" s="3" t="s">
        <v>30</v>
      </c>
      <c r="G106" s="3" t="s">
        <v>671</v>
      </c>
      <c r="H106" s="3" t="s">
        <v>33</v>
      </c>
      <c r="I106" s="3">
        <v>4.0</v>
      </c>
      <c r="J106" s="3" t="s">
        <v>23</v>
      </c>
      <c r="K106" s="3" t="s">
        <v>95</v>
      </c>
      <c r="L106" s="3" t="s">
        <v>39</v>
      </c>
      <c r="M106" s="3" t="s">
        <v>124</v>
      </c>
      <c r="N106" s="3" t="s">
        <v>60</v>
      </c>
      <c r="O106" s="3" t="s">
        <v>61</v>
      </c>
      <c r="P106" s="3" t="s">
        <v>682</v>
      </c>
      <c r="Q106" s="3"/>
      <c r="R106" s="2"/>
      <c r="S106" s="2"/>
      <c r="T106" s="2"/>
      <c r="U106" s="2"/>
      <c r="V106" s="2"/>
      <c r="W106" s="2"/>
      <c r="X106" s="2"/>
      <c r="Y106" s="2"/>
    </row>
    <row r="107">
      <c r="A107" s="5" t="str">
        <f>IFERROR(__xludf.DUMMYFUNCTION("LEFT(A106, 4) &amp; TEXT(VALUE(REGEXEXTRACT(A106, ""\d+"")) + 1, ""0000"")"),"KIN-0105")</f>
        <v>KIN-0105</v>
      </c>
      <c r="B107" s="3" t="s">
        <v>581</v>
      </c>
      <c r="C107" s="3" t="s">
        <v>683</v>
      </c>
      <c r="D107" s="2" t="str">
        <f t="shared" si="1"/>
        <v>NADAR | M</v>
      </c>
      <c r="E107" s="3" t="s">
        <v>48</v>
      </c>
      <c r="F107" s="3" t="s">
        <v>21</v>
      </c>
      <c r="G107" s="3" t="s">
        <v>671</v>
      </c>
      <c r="H107" s="3" t="s">
        <v>33</v>
      </c>
      <c r="I107" s="3">
        <v>4.0</v>
      </c>
      <c r="J107" s="3" t="s">
        <v>23</v>
      </c>
      <c r="K107" s="3" t="s">
        <v>95</v>
      </c>
      <c r="L107" s="7" t="s">
        <v>65</v>
      </c>
      <c r="M107" s="3" t="s">
        <v>124</v>
      </c>
      <c r="N107" s="3" t="s">
        <v>51</v>
      </c>
      <c r="O107" s="3" t="s">
        <v>52</v>
      </c>
      <c r="P107" s="3" t="s">
        <v>684</v>
      </c>
      <c r="Q107" s="3" t="s">
        <v>685</v>
      </c>
      <c r="R107" s="2"/>
      <c r="S107" s="2"/>
      <c r="T107" s="2"/>
      <c r="U107" s="2"/>
      <c r="V107" s="2"/>
      <c r="W107" s="2"/>
      <c r="X107" s="2"/>
      <c r="Y107" s="2"/>
    </row>
    <row r="108">
      <c r="A108" s="5" t="str">
        <f>IFERROR(__xludf.DUMMYFUNCTION("LEFT(A107, 4) &amp; TEXT(VALUE(REGEXEXTRACT(A107, ""\d+"")) + 1, ""0000"")"),"KIN-0106")</f>
        <v>KIN-0106</v>
      </c>
      <c r="B108" s="3" t="s">
        <v>581</v>
      </c>
      <c r="C108" s="3" t="s">
        <v>683</v>
      </c>
      <c r="D108" s="2" t="str">
        <f t="shared" si="1"/>
        <v>NADAR | M</v>
      </c>
      <c r="E108" s="3" t="s">
        <v>48</v>
      </c>
      <c r="F108" s="3" t="s">
        <v>27</v>
      </c>
      <c r="G108" s="3" t="s">
        <v>671</v>
      </c>
      <c r="H108" s="3" t="s">
        <v>33</v>
      </c>
      <c r="I108" s="3">
        <v>4.0</v>
      </c>
      <c r="J108" s="3" t="s">
        <v>23</v>
      </c>
      <c r="K108" s="3" t="s">
        <v>95</v>
      </c>
      <c r="L108" s="3" t="s">
        <v>35</v>
      </c>
      <c r="M108" s="3" t="s">
        <v>124</v>
      </c>
      <c r="N108" s="3" t="s">
        <v>51</v>
      </c>
      <c r="O108" s="3" t="s">
        <v>55</v>
      </c>
      <c r="P108" s="3" t="s">
        <v>684</v>
      </c>
      <c r="Q108" s="3" t="s">
        <v>685</v>
      </c>
      <c r="R108" s="2"/>
      <c r="S108" s="2"/>
      <c r="T108" s="2"/>
      <c r="U108" s="2"/>
      <c r="V108" s="2"/>
      <c r="W108" s="2"/>
      <c r="X108" s="2"/>
      <c r="Y108" s="2"/>
    </row>
    <row r="109">
      <c r="A109" s="5" t="str">
        <f>IFERROR(__xludf.DUMMYFUNCTION("LEFT(A108, 4) &amp; TEXT(VALUE(REGEXEXTRACT(A108, ""\d+"")) + 1, ""0000"")"),"KIN-0107")</f>
        <v>KIN-0107</v>
      </c>
      <c r="B109" s="3" t="s">
        <v>581</v>
      </c>
      <c r="C109" s="3" t="s">
        <v>683</v>
      </c>
      <c r="D109" s="2" t="str">
        <f t="shared" si="1"/>
        <v>NADAR | M</v>
      </c>
      <c r="E109" s="3" t="s">
        <v>48</v>
      </c>
      <c r="F109" s="3" t="s">
        <v>28</v>
      </c>
      <c r="G109" s="3" t="s">
        <v>671</v>
      </c>
      <c r="H109" s="3" t="s">
        <v>33</v>
      </c>
      <c r="I109" s="3">
        <v>4.0</v>
      </c>
      <c r="J109" s="3" t="s">
        <v>23</v>
      </c>
      <c r="K109" s="3" t="s">
        <v>95</v>
      </c>
      <c r="L109" s="3" t="s">
        <v>70</v>
      </c>
      <c r="M109" s="3" t="s">
        <v>124</v>
      </c>
      <c r="N109" s="3" t="s">
        <v>56</v>
      </c>
      <c r="O109" s="3" t="s">
        <v>57</v>
      </c>
      <c r="P109" s="3" t="s">
        <v>684</v>
      </c>
      <c r="Q109" s="3" t="s">
        <v>685</v>
      </c>
      <c r="R109" s="2"/>
      <c r="S109" s="2"/>
      <c r="T109" s="2"/>
      <c r="U109" s="2"/>
      <c r="V109" s="2"/>
      <c r="W109" s="2"/>
      <c r="X109" s="2"/>
      <c r="Y109" s="2"/>
    </row>
    <row r="110">
      <c r="A110" s="5" t="str">
        <f>IFERROR(__xludf.DUMMYFUNCTION("LEFT(A109, 4) &amp; TEXT(VALUE(REGEXEXTRACT(A109, ""\d+"")) + 1, ""0000"")"),"KIN-0108")</f>
        <v>KIN-0108</v>
      </c>
      <c r="B110" s="3" t="s">
        <v>581</v>
      </c>
      <c r="C110" s="3" t="s">
        <v>683</v>
      </c>
      <c r="D110" s="2" t="str">
        <f t="shared" si="1"/>
        <v>NADAR | M</v>
      </c>
      <c r="E110" s="3" t="s">
        <v>48</v>
      </c>
      <c r="F110" s="3" t="s">
        <v>29</v>
      </c>
      <c r="G110" s="3" t="s">
        <v>671</v>
      </c>
      <c r="H110" s="3" t="s">
        <v>33</v>
      </c>
      <c r="I110" s="3">
        <v>4.0</v>
      </c>
      <c r="J110" s="3" t="s">
        <v>23</v>
      </c>
      <c r="K110" s="3" t="s">
        <v>95</v>
      </c>
      <c r="L110" s="3" t="s">
        <v>72</v>
      </c>
      <c r="M110" s="3" t="s">
        <v>124</v>
      </c>
      <c r="N110" s="3" t="s">
        <v>58</v>
      </c>
      <c r="O110" s="3" t="s">
        <v>59</v>
      </c>
      <c r="P110" s="3" t="s">
        <v>684</v>
      </c>
      <c r="Q110" s="3" t="s">
        <v>685</v>
      </c>
      <c r="R110" s="2"/>
      <c r="S110" s="2"/>
      <c r="T110" s="2"/>
      <c r="U110" s="2"/>
      <c r="V110" s="2"/>
      <c r="W110" s="2"/>
      <c r="X110" s="2"/>
      <c r="Y110" s="2"/>
    </row>
    <row r="111">
      <c r="A111" s="5" t="str">
        <f>IFERROR(__xludf.DUMMYFUNCTION("LEFT(A110, 4) &amp; TEXT(VALUE(REGEXEXTRACT(A110, ""\d+"")) + 1, ""0000"")"),"KIN-0109")</f>
        <v>KIN-0109</v>
      </c>
      <c r="B111" s="3" t="s">
        <v>581</v>
      </c>
      <c r="C111" s="3" t="s">
        <v>683</v>
      </c>
      <c r="D111" s="2" t="str">
        <f t="shared" si="1"/>
        <v>NADAR | M</v>
      </c>
      <c r="E111" s="3" t="s">
        <v>48</v>
      </c>
      <c r="F111" s="3" t="s">
        <v>30</v>
      </c>
      <c r="G111" s="3" t="s">
        <v>671</v>
      </c>
      <c r="H111" s="3" t="s">
        <v>33</v>
      </c>
      <c r="I111" s="3">
        <v>4.0</v>
      </c>
      <c r="J111" s="3" t="s">
        <v>23</v>
      </c>
      <c r="K111" s="3" t="s">
        <v>95</v>
      </c>
      <c r="L111" s="3" t="s">
        <v>39</v>
      </c>
      <c r="M111" s="3" t="s">
        <v>124</v>
      </c>
      <c r="N111" s="3" t="s">
        <v>60</v>
      </c>
      <c r="O111" s="3" t="s">
        <v>61</v>
      </c>
      <c r="P111" s="3" t="s">
        <v>684</v>
      </c>
      <c r="Q111" s="3" t="s">
        <v>685</v>
      </c>
      <c r="R111" s="2"/>
      <c r="S111" s="2"/>
      <c r="T111" s="2"/>
      <c r="U111" s="2"/>
      <c r="V111" s="2"/>
      <c r="W111" s="2"/>
      <c r="X111" s="2"/>
      <c r="Y111" s="2"/>
    </row>
    <row r="112">
      <c r="A112" s="5" t="str">
        <f>IFERROR(__xludf.DUMMYFUNCTION("LEFT(A111, 4) &amp; TEXT(VALUE(REGEXEXTRACT(A111, ""\d+"")) + 1, ""0000"")"),"KIN-0110")</f>
        <v>KIN-0110</v>
      </c>
      <c r="B112" s="3" t="s">
        <v>581</v>
      </c>
      <c r="C112" s="3" t="s">
        <v>686</v>
      </c>
      <c r="D112" s="2" t="str">
        <f t="shared" si="1"/>
        <v>LEVITAÇÃO | M</v>
      </c>
      <c r="E112" s="3" t="s">
        <v>48</v>
      </c>
      <c r="F112" s="3" t="s">
        <v>21</v>
      </c>
      <c r="G112" s="3" t="s">
        <v>671</v>
      </c>
      <c r="H112" s="3" t="s">
        <v>33</v>
      </c>
      <c r="I112" s="3">
        <v>4.0</v>
      </c>
      <c r="J112" s="3" t="s">
        <v>23</v>
      </c>
      <c r="K112" s="3" t="s">
        <v>95</v>
      </c>
      <c r="L112" s="7" t="s">
        <v>65</v>
      </c>
      <c r="M112" s="3" t="s">
        <v>124</v>
      </c>
      <c r="N112" s="3" t="s">
        <v>125</v>
      </c>
      <c r="O112" s="3" t="s">
        <v>126</v>
      </c>
      <c r="P112" s="3" t="s">
        <v>687</v>
      </c>
      <c r="Q112" s="3" t="s">
        <v>688</v>
      </c>
      <c r="R112" s="2"/>
      <c r="S112" s="2"/>
      <c r="T112" s="2"/>
      <c r="U112" s="2"/>
      <c r="V112" s="2"/>
      <c r="W112" s="2"/>
      <c r="X112" s="2"/>
      <c r="Y112" s="2"/>
    </row>
    <row r="113">
      <c r="A113" s="5" t="str">
        <f>IFERROR(__xludf.DUMMYFUNCTION("LEFT(A112, 4) &amp; TEXT(VALUE(REGEXEXTRACT(A112, ""\d+"")) + 1, ""0000"")"),"KIN-0111")</f>
        <v>KIN-0111</v>
      </c>
      <c r="B113" s="3" t="s">
        <v>581</v>
      </c>
      <c r="C113" s="3" t="s">
        <v>686</v>
      </c>
      <c r="D113" s="2" t="str">
        <f t="shared" si="1"/>
        <v>LEVITAÇÃO | M</v>
      </c>
      <c r="E113" s="3" t="s">
        <v>48</v>
      </c>
      <c r="F113" s="3" t="s">
        <v>27</v>
      </c>
      <c r="G113" s="3" t="s">
        <v>671</v>
      </c>
      <c r="H113" s="3" t="s">
        <v>33</v>
      </c>
      <c r="I113" s="3">
        <v>4.0</v>
      </c>
      <c r="J113" s="3" t="s">
        <v>23</v>
      </c>
      <c r="K113" s="3" t="s">
        <v>95</v>
      </c>
      <c r="L113" s="3" t="s">
        <v>35</v>
      </c>
      <c r="M113" s="3" t="s">
        <v>124</v>
      </c>
      <c r="N113" s="3" t="s">
        <v>128</v>
      </c>
      <c r="O113" s="3" t="s">
        <v>126</v>
      </c>
      <c r="P113" s="3" t="s">
        <v>687</v>
      </c>
      <c r="Q113" s="3" t="s">
        <v>689</v>
      </c>
      <c r="R113" s="2"/>
      <c r="S113" s="2"/>
      <c r="T113" s="2"/>
      <c r="U113" s="2"/>
      <c r="V113" s="2"/>
      <c r="W113" s="2"/>
      <c r="X113" s="2"/>
      <c r="Y113" s="2"/>
    </row>
    <row r="114">
      <c r="A114" s="5" t="str">
        <f>IFERROR(__xludf.DUMMYFUNCTION("LEFT(A113, 4) &amp; TEXT(VALUE(REGEXEXTRACT(A113, ""\d+"")) + 1, ""0000"")"),"KIN-0112")</f>
        <v>KIN-0112</v>
      </c>
      <c r="B114" s="3" t="s">
        <v>581</v>
      </c>
      <c r="C114" s="3" t="s">
        <v>686</v>
      </c>
      <c r="D114" s="2" t="str">
        <f t="shared" si="1"/>
        <v>LEVITAÇÃO | M</v>
      </c>
      <c r="E114" s="3" t="s">
        <v>48</v>
      </c>
      <c r="F114" s="3" t="s">
        <v>28</v>
      </c>
      <c r="G114" s="3" t="s">
        <v>671</v>
      </c>
      <c r="H114" s="3" t="s">
        <v>33</v>
      </c>
      <c r="I114" s="3">
        <v>4.0</v>
      </c>
      <c r="J114" s="3" t="s">
        <v>23</v>
      </c>
      <c r="K114" s="3" t="s">
        <v>95</v>
      </c>
      <c r="L114" s="3" t="s">
        <v>70</v>
      </c>
      <c r="M114" s="3" t="s">
        <v>124</v>
      </c>
      <c r="N114" s="3" t="s">
        <v>130</v>
      </c>
      <c r="O114" s="3" t="s">
        <v>131</v>
      </c>
      <c r="P114" s="3" t="s">
        <v>690</v>
      </c>
      <c r="Q114" s="3" t="s">
        <v>691</v>
      </c>
      <c r="R114" s="2"/>
      <c r="S114" s="2"/>
      <c r="T114" s="2"/>
      <c r="U114" s="2"/>
      <c r="V114" s="2"/>
      <c r="W114" s="2"/>
      <c r="X114" s="2"/>
      <c r="Y114" s="2"/>
    </row>
    <row r="115">
      <c r="A115" s="5" t="str">
        <f>IFERROR(__xludf.DUMMYFUNCTION("LEFT(A114, 4) &amp; TEXT(VALUE(REGEXEXTRACT(A114, ""\d+"")) + 1, ""0000"")"),"KIN-0113")</f>
        <v>KIN-0113</v>
      </c>
      <c r="B115" s="3" t="s">
        <v>581</v>
      </c>
      <c r="C115" s="3" t="s">
        <v>686</v>
      </c>
      <c r="D115" s="2" t="str">
        <f t="shared" si="1"/>
        <v>LEVITAÇÃO | M</v>
      </c>
      <c r="E115" s="3" t="s">
        <v>48</v>
      </c>
      <c r="F115" s="3" t="s">
        <v>29</v>
      </c>
      <c r="G115" s="3" t="s">
        <v>671</v>
      </c>
      <c r="H115" s="3" t="s">
        <v>33</v>
      </c>
      <c r="I115" s="3">
        <v>4.0</v>
      </c>
      <c r="J115" s="3" t="s">
        <v>23</v>
      </c>
      <c r="K115" s="3" t="s">
        <v>95</v>
      </c>
      <c r="L115" s="3" t="s">
        <v>72</v>
      </c>
      <c r="M115" s="3" t="s">
        <v>124</v>
      </c>
      <c r="N115" s="3" t="s">
        <v>133</v>
      </c>
      <c r="O115" s="3" t="s">
        <v>131</v>
      </c>
      <c r="P115" s="3" t="s">
        <v>690</v>
      </c>
      <c r="Q115" s="3" t="s">
        <v>692</v>
      </c>
      <c r="R115" s="2"/>
      <c r="S115" s="2"/>
      <c r="T115" s="2"/>
      <c r="U115" s="2"/>
      <c r="V115" s="2"/>
      <c r="W115" s="2"/>
      <c r="X115" s="2"/>
      <c r="Y115" s="2"/>
    </row>
    <row r="116">
      <c r="A116" s="5" t="str">
        <f>IFERROR(__xludf.DUMMYFUNCTION("LEFT(A115, 4) &amp; TEXT(VALUE(REGEXEXTRACT(A115, ""\d+"")) + 1, ""0000"")"),"KIN-0114")</f>
        <v>KIN-0114</v>
      </c>
      <c r="B116" s="3" t="s">
        <v>581</v>
      </c>
      <c r="C116" s="3" t="s">
        <v>686</v>
      </c>
      <c r="D116" s="2" t="str">
        <f t="shared" si="1"/>
        <v>LEVITAÇÃO | M</v>
      </c>
      <c r="E116" s="3" t="s">
        <v>48</v>
      </c>
      <c r="F116" s="3" t="s">
        <v>30</v>
      </c>
      <c r="G116" s="3" t="s">
        <v>671</v>
      </c>
      <c r="H116" s="3" t="s">
        <v>33</v>
      </c>
      <c r="I116" s="3">
        <v>4.0</v>
      </c>
      <c r="J116" s="3" t="s">
        <v>23</v>
      </c>
      <c r="K116" s="3" t="s">
        <v>95</v>
      </c>
      <c r="L116" s="3" t="s">
        <v>39</v>
      </c>
      <c r="M116" s="3" t="s">
        <v>124</v>
      </c>
      <c r="N116" s="3" t="s">
        <v>135</v>
      </c>
      <c r="O116" s="3" t="s">
        <v>136</v>
      </c>
      <c r="P116" s="3" t="s">
        <v>693</v>
      </c>
      <c r="Q116" s="3" t="s">
        <v>694</v>
      </c>
      <c r="R116" s="2"/>
      <c r="S116" s="2"/>
      <c r="T116" s="2"/>
      <c r="U116" s="2"/>
      <c r="V116" s="2"/>
      <c r="W116" s="2"/>
      <c r="X116" s="2"/>
      <c r="Y116" s="2"/>
    </row>
    <row r="117">
      <c r="A117" s="5" t="str">
        <f>IFERROR(__xludf.DUMMYFUNCTION("LEFT(A116, 4) &amp; TEXT(VALUE(REGEXEXTRACT(A116, ""\d+"")) + 1, ""0000"")"),"KIN-0115")</f>
        <v>KIN-0115</v>
      </c>
      <c r="B117" s="3" t="s">
        <v>581</v>
      </c>
      <c r="C117" s="3" t="s">
        <v>695</v>
      </c>
      <c r="D117" s="2" t="str">
        <f t="shared" si="1"/>
        <v>VOAR | D</v>
      </c>
      <c r="E117" s="3" t="s">
        <v>76</v>
      </c>
      <c r="F117" s="3" t="s">
        <v>30</v>
      </c>
      <c r="G117" s="3" t="s">
        <v>671</v>
      </c>
      <c r="H117" s="3" t="s">
        <v>33</v>
      </c>
      <c r="I117" s="3">
        <v>8.0</v>
      </c>
      <c r="J117" s="3" t="s">
        <v>50</v>
      </c>
      <c r="K117" s="3" t="s">
        <v>95</v>
      </c>
      <c r="L117" s="3" t="s">
        <v>39</v>
      </c>
      <c r="M117" s="3" t="s">
        <v>124</v>
      </c>
      <c r="N117" s="3" t="s">
        <v>60</v>
      </c>
      <c r="O117" s="3" t="s">
        <v>61</v>
      </c>
      <c r="P117" s="3" t="s">
        <v>696</v>
      </c>
      <c r="Q117" s="3" t="s">
        <v>697</v>
      </c>
      <c r="R117" s="2"/>
      <c r="S117" s="2"/>
      <c r="T117" s="2"/>
      <c r="U117" s="2"/>
      <c r="V117" s="2"/>
      <c r="W117" s="2"/>
      <c r="X117" s="2"/>
      <c r="Y117" s="2"/>
    </row>
    <row r="118">
      <c r="A118" s="5" t="str">
        <f>IFERROR(__xludf.DUMMYFUNCTION("LEFT(A117, 4) &amp; TEXT(VALUE(REGEXEXTRACT(A117, ""\d+"")) + 1, ""0000"")"),"KIN-0116")</f>
        <v>KIN-0116</v>
      </c>
      <c r="B118" s="3" t="s">
        <v>581</v>
      </c>
      <c r="C118" s="3" t="s">
        <v>695</v>
      </c>
      <c r="D118" s="2" t="str">
        <f t="shared" si="1"/>
        <v>VOAR | D</v>
      </c>
      <c r="E118" s="3" t="s">
        <v>76</v>
      </c>
      <c r="F118" s="3" t="s">
        <v>21</v>
      </c>
      <c r="G118" s="3" t="s">
        <v>671</v>
      </c>
      <c r="H118" s="3" t="s">
        <v>33</v>
      </c>
      <c r="I118" s="3">
        <v>8.0</v>
      </c>
      <c r="J118" s="3" t="s">
        <v>50</v>
      </c>
      <c r="K118" s="3" t="s">
        <v>95</v>
      </c>
      <c r="L118" s="7" t="s">
        <v>65</v>
      </c>
      <c r="M118" s="3" t="s">
        <v>124</v>
      </c>
      <c r="N118" s="3" t="s">
        <v>125</v>
      </c>
      <c r="O118" s="3" t="s">
        <v>126</v>
      </c>
      <c r="P118" s="3" t="s">
        <v>696</v>
      </c>
      <c r="Q118" s="3" t="s">
        <v>697</v>
      </c>
      <c r="R118" s="2"/>
      <c r="S118" s="2"/>
      <c r="T118" s="2"/>
      <c r="U118" s="2"/>
      <c r="V118" s="2"/>
      <c r="W118" s="2"/>
      <c r="X118" s="2"/>
      <c r="Y118" s="2"/>
    </row>
    <row r="119">
      <c r="A119" s="5" t="str">
        <f>IFERROR(__xludf.DUMMYFUNCTION("LEFT(A118, 4) &amp; TEXT(VALUE(REGEXEXTRACT(A118, ""\d+"")) + 1, ""0000"")"),"KIN-0117")</f>
        <v>KIN-0117</v>
      </c>
      <c r="B119" s="3" t="s">
        <v>581</v>
      </c>
      <c r="C119" s="3" t="s">
        <v>695</v>
      </c>
      <c r="D119" s="2" t="str">
        <f t="shared" si="1"/>
        <v>VOAR | D</v>
      </c>
      <c r="E119" s="3" t="s">
        <v>76</v>
      </c>
      <c r="F119" s="3" t="s">
        <v>27</v>
      </c>
      <c r="G119" s="3" t="s">
        <v>671</v>
      </c>
      <c r="H119" s="3" t="s">
        <v>33</v>
      </c>
      <c r="I119" s="3">
        <v>8.0</v>
      </c>
      <c r="J119" s="3" t="s">
        <v>50</v>
      </c>
      <c r="K119" s="3" t="s">
        <v>95</v>
      </c>
      <c r="L119" s="3" t="s">
        <v>35</v>
      </c>
      <c r="M119" s="3" t="s">
        <v>124</v>
      </c>
      <c r="N119" s="3" t="s">
        <v>128</v>
      </c>
      <c r="O119" s="3" t="s">
        <v>126</v>
      </c>
      <c r="P119" s="3" t="s">
        <v>696</v>
      </c>
      <c r="Q119" s="3" t="s">
        <v>697</v>
      </c>
      <c r="R119" s="2"/>
      <c r="S119" s="2"/>
      <c r="T119" s="2"/>
      <c r="U119" s="2"/>
      <c r="V119" s="2"/>
      <c r="W119" s="2"/>
      <c r="X119" s="2"/>
      <c r="Y119" s="2"/>
    </row>
    <row r="120">
      <c r="A120" s="5" t="str">
        <f>IFERROR(__xludf.DUMMYFUNCTION("LEFT(A119, 4) &amp; TEXT(VALUE(REGEXEXTRACT(A119, ""\d+"")) + 1, ""0000"")"),"KIN-0118")</f>
        <v>KIN-0118</v>
      </c>
      <c r="B120" s="3" t="s">
        <v>581</v>
      </c>
      <c r="C120" s="3" t="s">
        <v>695</v>
      </c>
      <c r="D120" s="2" t="str">
        <f t="shared" si="1"/>
        <v>VOAR | D</v>
      </c>
      <c r="E120" s="3" t="s">
        <v>76</v>
      </c>
      <c r="F120" s="3" t="s">
        <v>28</v>
      </c>
      <c r="G120" s="3" t="s">
        <v>671</v>
      </c>
      <c r="H120" s="3" t="s">
        <v>33</v>
      </c>
      <c r="I120" s="3">
        <v>8.0</v>
      </c>
      <c r="J120" s="3" t="s">
        <v>50</v>
      </c>
      <c r="K120" s="3" t="s">
        <v>95</v>
      </c>
      <c r="L120" s="3" t="s">
        <v>70</v>
      </c>
      <c r="M120" s="3" t="s">
        <v>124</v>
      </c>
      <c r="N120" s="3" t="s">
        <v>130</v>
      </c>
      <c r="O120" s="3" t="s">
        <v>131</v>
      </c>
      <c r="P120" s="3" t="s">
        <v>696</v>
      </c>
      <c r="Q120" s="3" t="s">
        <v>697</v>
      </c>
      <c r="R120" s="2"/>
      <c r="S120" s="2"/>
      <c r="T120" s="2"/>
      <c r="U120" s="2"/>
      <c r="V120" s="2"/>
      <c r="W120" s="2"/>
      <c r="X120" s="2"/>
      <c r="Y120" s="2"/>
    </row>
    <row r="121">
      <c r="A121" s="5" t="str">
        <f>IFERROR(__xludf.DUMMYFUNCTION("LEFT(A120, 4) &amp; TEXT(VALUE(REGEXEXTRACT(A120, ""\d+"")) + 1, ""0000"")"),"KIN-0119")</f>
        <v>KIN-0119</v>
      </c>
      <c r="B121" s="3" t="s">
        <v>581</v>
      </c>
      <c r="C121" s="3" t="s">
        <v>695</v>
      </c>
      <c r="D121" s="2" t="str">
        <f t="shared" si="1"/>
        <v>VOAR | D</v>
      </c>
      <c r="E121" s="3" t="s">
        <v>76</v>
      </c>
      <c r="F121" s="3" t="s">
        <v>29</v>
      </c>
      <c r="G121" s="3" t="s">
        <v>671</v>
      </c>
      <c r="H121" s="3" t="s">
        <v>33</v>
      </c>
      <c r="I121" s="3">
        <v>8.0</v>
      </c>
      <c r="J121" s="3" t="s">
        <v>50</v>
      </c>
      <c r="K121" s="3" t="s">
        <v>95</v>
      </c>
      <c r="L121" s="3" t="s">
        <v>72</v>
      </c>
      <c r="M121" s="3" t="s">
        <v>124</v>
      </c>
      <c r="N121" s="3" t="s">
        <v>133</v>
      </c>
      <c r="O121" s="3" t="s">
        <v>131</v>
      </c>
      <c r="P121" s="3" t="s">
        <v>696</v>
      </c>
      <c r="Q121" s="3" t="s">
        <v>697</v>
      </c>
      <c r="R121" s="2"/>
      <c r="S121" s="2"/>
      <c r="T121" s="2"/>
      <c r="U121" s="2"/>
      <c r="V121" s="2"/>
      <c r="W121" s="2"/>
      <c r="X121" s="2"/>
      <c r="Y121" s="2"/>
    </row>
    <row r="122">
      <c r="A122" s="5" t="str">
        <f>IFERROR(__xludf.DUMMYFUNCTION("LEFT(A121, 4) &amp; TEXT(VALUE(REGEXEXTRACT(A121, ""\d+"")) + 1, ""0000"")"),"KIN-0120")</f>
        <v>KIN-0120</v>
      </c>
      <c r="B122" s="3" t="s">
        <v>581</v>
      </c>
      <c r="C122" s="3" t="s">
        <v>695</v>
      </c>
      <c r="D122" s="2" t="str">
        <f t="shared" si="1"/>
        <v>VOAR | D</v>
      </c>
      <c r="E122" s="3" t="s">
        <v>76</v>
      </c>
      <c r="F122" s="3" t="s">
        <v>30</v>
      </c>
      <c r="G122" s="3" t="s">
        <v>671</v>
      </c>
      <c r="H122" s="3" t="s">
        <v>33</v>
      </c>
      <c r="I122" s="3">
        <v>8.0</v>
      </c>
      <c r="J122" s="3" t="s">
        <v>23</v>
      </c>
      <c r="K122" s="3" t="s">
        <v>95</v>
      </c>
      <c r="L122" s="3" t="s">
        <v>39</v>
      </c>
      <c r="M122" s="3" t="s">
        <v>124</v>
      </c>
      <c r="N122" s="3" t="s">
        <v>135</v>
      </c>
      <c r="O122" s="3" t="s">
        <v>136</v>
      </c>
      <c r="P122" s="3" t="s">
        <v>696</v>
      </c>
      <c r="Q122" s="3" t="s">
        <v>697</v>
      </c>
      <c r="R122" s="2"/>
      <c r="S122" s="2"/>
      <c r="T122" s="2"/>
      <c r="U122" s="2"/>
      <c r="V122" s="2"/>
      <c r="W122" s="2"/>
      <c r="X122" s="2"/>
      <c r="Y122" s="2"/>
    </row>
    <row r="123">
      <c r="A123" s="5" t="str">
        <f>IFERROR(__xludf.DUMMYFUNCTION("LEFT(A122, 4) &amp; TEXT(VALUE(REGEXEXTRACT(A122, ""\d+"")) + 1, ""0000"")"),"KIN-0121")</f>
        <v>KIN-0121</v>
      </c>
      <c r="B123" s="3" t="s">
        <v>581</v>
      </c>
      <c r="C123" s="3" t="s">
        <v>698</v>
      </c>
      <c r="D123" s="2" t="str">
        <f t="shared" si="1"/>
        <v>TAPETE MÁGICO | MD</v>
      </c>
      <c r="E123" s="3" t="s">
        <v>94</v>
      </c>
      <c r="F123" s="3" t="s">
        <v>21</v>
      </c>
      <c r="G123" s="3" t="s">
        <v>671</v>
      </c>
      <c r="H123" s="3" t="s">
        <v>33</v>
      </c>
      <c r="I123" s="3">
        <v>16.0</v>
      </c>
      <c r="J123" s="7" t="s">
        <v>126</v>
      </c>
      <c r="K123" s="7" t="s">
        <v>303</v>
      </c>
      <c r="L123" s="7" t="s">
        <v>195</v>
      </c>
      <c r="M123" s="3" t="s">
        <v>699</v>
      </c>
      <c r="N123" s="15"/>
      <c r="O123" s="7" t="s">
        <v>700</v>
      </c>
      <c r="P123" s="3" t="s">
        <v>701</v>
      </c>
      <c r="Q123" s="3" t="s">
        <v>702</v>
      </c>
      <c r="R123" s="2"/>
      <c r="S123" s="2"/>
      <c r="T123" s="2"/>
      <c r="U123" s="2"/>
      <c r="V123" s="2"/>
      <c r="W123" s="2"/>
      <c r="X123" s="2"/>
      <c r="Y123" s="2"/>
    </row>
    <row r="124">
      <c r="A124" s="5" t="str">
        <f>IFERROR(__xludf.DUMMYFUNCTION("LEFT(A123, 4) &amp; TEXT(VALUE(REGEXEXTRACT(A123, ""\d+"")) + 1, ""0000"")"),"KIN-0122")</f>
        <v>KIN-0122</v>
      </c>
      <c r="B124" s="3" t="s">
        <v>581</v>
      </c>
      <c r="C124" s="3" t="s">
        <v>698</v>
      </c>
      <c r="D124" s="2" t="str">
        <f t="shared" si="1"/>
        <v>TAPETE MÁGICO | MD</v>
      </c>
      <c r="E124" s="3" t="s">
        <v>94</v>
      </c>
      <c r="F124" s="3" t="s">
        <v>27</v>
      </c>
      <c r="G124" s="3" t="s">
        <v>671</v>
      </c>
      <c r="H124" s="3" t="s">
        <v>33</v>
      </c>
      <c r="I124" s="3">
        <v>16.0</v>
      </c>
      <c r="J124" s="7" t="s">
        <v>126</v>
      </c>
      <c r="K124" s="7" t="s">
        <v>303</v>
      </c>
      <c r="L124" s="7" t="s">
        <v>195</v>
      </c>
      <c r="M124" s="3" t="s">
        <v>699</v>
      </c>
      <c r="N124" s="2"/>
      <c r="O124" s="7" t="s">
        <v>700</v>
      </c>
      <c r="P124" s="3" t="s">
        <v>701</v>
      </c>
      <c r="Q124" s="3" t="s">
        <v>702</v>
      </c>
      <c r="R124" s="2"/>
      <c r="S124" s="2"/>
      <c r="T124" s="2"/>
      <c r="U124" s="2"/>
      <c r="V124" s="2"/>
      <c r="W124" s="2"/>
      <c r="X124" s="2"/>
      <c r="Y124" s="2"/>
    </row>
    <row r="125">
      <c r="A125" s="5" t="str">
        <f>IFERROR(__xludf.DUMMYFUNCTION("LEFT(A124, 4) &amp; TEXT(VALUE(REGEXEXTRACT(A124, ""\d+"")) + 1, ""0000"")"),"KIN-0123")</f>
        <v>KIN-0123</v>
      </c>
      <c r="B125" s="3" t="s">
        <v>581</v>
      </c>
      <c r="C125" s="3" t="s">
        <v>698</v>
      </c>
      <c r="D125" s="2" t="str">
        <f t="shared" si="1"/>
        <v>TAPETE MÁGICO | MD</v>
      </c>
      <c r="E125" s="3" t="s">
        <v>94</v>
      </c>
      <c r="F125" s="3" t="s">
        <v>28</v>
      </c>
      <c r="G125" s="3" t="s">
        <v>671</v>
      </c>
      <c r="H125" s="3" t="s">
        <v>33</v>
      </c>
      <c r="I125" s="3">
        <v>16.0</v>
      </c>
      <c r="J125" s="3" t="s">
        <v>50</v>
      </c>
      <c r="K125" s="7" t="s">
        <v>303</v>
      </c>
      <c r="L125" s="7" t="s">
        <v>195</v>
      </c>
      <c r="M125" s="3" t="s">
        <v>699</v>
      </c>
      <c r="N125" s="2"/>
      <c r="O125" s="7" t="s">
        <v>700</v>
      </c>
      <c r="P125" s="3" t="s">
        <v>701</v>
      </c>
      <c r="Q125" s="3" t="s">
        <v>702</v>
      </c>
      <c r="R125" s="2"/>
      <c r="S125" s="2"/>
      <c r="T125" s="2"/>
      <c r="U125" s="2"/>
      <c r="V125" s="2"/>
      <c r="W125" s="2"/>
      <c r="X125" s="2"/>
      <c r="Y125" s="2"/>
    </row>
    <row r="126">
      <c r="A126" s="5" t="str">
        <f>IFERROR(__xludf.DUMMYFUNCTION("LEFT(A125, 4) &amp; TEXT(VALUE(REGEXEXTRACT(A125, ""\d+"")) + 1, ""0000"")"),"KIN-0124")</f>
        <v>KIN-0124</v>
      </c>
      <c r="B126" s="3" t="s">
        <v>581</v>
      </c>
      <c r="C126" s="3" t="s">
        <v>698</v>
      </c>
      <c r="D126" s="2" t="str">
        <f t="shared" si="1"/>
        <v>TAPETE MÁGICO | MD</v>
      </c>
      <c r="E126" s="3" t="s">
        <v>94</v>
      </c>
      <c r="F126" s="3" t="s">
        <v>29</v>
      </c>
      <c r="G126" s="3" t="s">
        <v>671</v>
      </c>
      <c r="H126" s="3" t="s">
        <v>33</v>
      </c>
      <c r="I126" s="3">
        <v>16.0</v>
      </c>
      <c r="J126" s="3" t="s">
        <v>50</v>
      </c>
      <c r="K126" s="7" t="s">
        <v>303</v>
      </c>
      <c r="L126" s="7" t="s">
        <v>195</v>
      </c>
      <c r="M126" s="3" t="s">
        <v>699</v>
      </c>
      <c r="N126" s="2"/>
      <c r="O126" s="7" t="s">
        <v>700</v>
      </c>
      <c r="P126" s="3" t="s">
        <v>701</v>
      </c>
      <c r="Q126" s="3" t="s">
        <v>702</v>
      </c>
      <c r="R126" s="2"/>
      <c r="S126" s="2"/>
      <c r="T126" s="2"/>
      <c r="U126" s="2"/>
      <c r="V126" s="2"/>
      <c r="W126" s="2"/>
      <c r="X126" s="2"/>
      <c r="Y126" s="2"/>
    </row>
    <row r="127">
      <c r="A127" s="5" t="str">
        <f>IFERROR(__xludf.DUMMYFUNCTION("LEFT(A126, 4) &amp; TEXT(VALUE(REGEXEXTRACT(A126, ""\d+"")) + 1, ""0000"")"),"KIN-0125")</f>
        <v>KIN-0125</v>
      </c>
      <c r="B127" s="3" t="s">
        <v>581</v>
      </c>
      <c r="C127" s="3" t="s">
        <v>698</v>
      </c>
      <c r="D127" s="2" t="str">
        <f t="shared" si="1"/>
        <v>TAPETE MÁGICO | MD</v>
      </c>
      <c r="E127" s="3" t="s">
        <v>94</v>
      </c>
      <c r="F127" s="3" t="s">
        <v>30</v>
      </c>
      <c r="G127" s="3" t="s">
        <v>671</v>
      </c>
      <c r="H127" s="3" t="s">
        <v>33</v>
      </c>
      <c r="I127" s="3">
        <v>16.0</v>
      </c>
      <c r="J127" s="3" t="s">
        <v>23</v>
      </c>
      <c r="K127" s="7" t="s">
        <v>303</v>
      </c>
      <c r="L127" s="7" t="s">
        <v>195</v>
      </c>
      <c r="M127" s="3" t="s">
        <v>699</v>
      </c>
      <c r="N127" s="2"/>
      <c r="O127" s="7" t="s">
        <v>700</v>
      </c>
      <c r="P127" s="3" t="s">
        <v>701</v>
      </c>
      <c r="Q127" s="3" t="s">
        <v>702</v>
      </c>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75"/>
    <col customWidth="1" min="2" max="2" width="9.75"/>
    <col customWidth="1" min="3" max="3" width="12.5"/>
    <col customWidth="1" min="4" max="4" width="14.88"/>
    <col customWidth="1" min="5" max="5" width="9.13"/>
    <col customWidth="1" min="6" max="6" width="7.38"/>
    <col customWidth="1" min="7" max="7" width="13.5"/>
    <col customWidth="1" min="8" max="8" width="13.88"/>
    <col customWidth="1" min="9" max="9" width="6.75"/>
    <col customWidth="1" min="10" max="10" width="9.63"/>
    <col customWidth="1" min="11" max="11" width="10.63"/>
    <col customWidth="1" min="12" max="12" width="7.5"/>
    <col customWidth="1" min="13" max="13" width="10.5"/>
    <col customWidth="1" min="14" max="14" width="8.38"/>
    <col customWidth="1" min="15" max="15" width="9.0"/>
    <col customWidth="1" min="16" max="16" width="29.25"/>
    <col customWidth="1" min="17" max="17" width="2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c r="A2" s="16" t="s">
        <v>703</v>
      </c>
      <c r="B2" s="3" t="s">
        <v>704</v>
      </c>
      <c r="C2" s="3" t="s">
        <v>705</v>
      </c>
      <c r="D2" s="2" t="str">
        <f t="shared" ref="D2:D231" si="1">UPPER(CONCATENATE(C2, " | ",E2))</f>
        <v>SENTIR EMOÇÃO | F</v>
      </c>
      <c r="E2" s="3" t="s">
        <v>20</v>
      </c>
      <c r="F2" s="3" t="s">
        <v>21</v>
      </c>
      <c r="G2" s="3" t="s">
        <v>32</v>
      </c>
      <c r="H2" s="3" t="s">
        <v>33</v>
      </c>
      <c r="I2" s="3">
        <v>2.0</v>
      </c>
      <c r="J2" s="3" t="s">
        <v>23</v>
      </c>
      <c r="K2" s="3" t="s">
        <v>34</v>
      </c>
      <c r="L2" s="3" t="s">
        <v>35</v>
      </c>
      <c r="M2" s="3" t="s">
        <v>35</v>
      </c>
      <c r="N2" s="3" t="s">
        <v>36</v>
      </c>
      <c r="O2" s="3" t="s">
        <v>23</v>
      </c>
      <c r="P2" s="4" t="s">
        <v>706</v>
      </c>
      <c r="Q2" s="3" t="s">
        <v>707</v>
      </c>
      <c r="R2" s="2"/>
      <c r="S2" s="2"/>
      <c r="T2" s="2"/>
      <c r="U2" s="2"/>
      <c r="V2" s="2"/>
      <c r="W2" s="2"/>
      <c r="X2" s="2"/>
      <c r="Y2" s="2"/>
      <c r="Z2" s="2"/>
    </row>
    <row r="3">
      <c r="A3" s="5" t="str">
        <f>IFERROR(__xludf.DUMMYFUNCTION("LEFT(A2, 4) &amp; TEXT(VALUE(REGEXEXTRACT(A2, ""\d+"")) + 1, ""0000"")"),"PSI-0001")</f>
        <v>PSI-0001</v>
      </c>
      <c r="B3" s="3" t="s">
        <v>704</v>
      </c>
      <c r="C3" s="3" t="s">
        <v>705</v>
      </c>
      <c r="D3" s="2" t="str">
        <f t="shared" si="1"/>
        <v>SENTIR EMOÇÃO | F</v>
      </c>
      <c r="E3" s="3" t="s">
        <v>20</v>
      </c>
      <c r="F3" s="3" t="s">
        <v>27</v>
      </c>
      <c r="G3" s="3" t="s">
        <v>32</v>
      </c>
      <c r="H3" s="3" t="s">
        <v>33</v>
      </c>
      <c r="I3" s="3">
        <v>2.0</v>
      </c>
      <c r="J3" s="3" t="s">
        <v>23</v>
      </c>
      <c r="K3" s="3" t="s">
        <v>34</v>
      </c>
      <c r="L3" s="3" t="s">
        <v>38</v>
      </c>
      <c r="M3" s="3" t="s">
        <v>38</v>
      </c>
      <c r="N3" s="3" t="s">
        <v>36</v>
      </c>
      <c r="O3" s="3" t="s">
        <v>23</v>
      </c>
      <c r="P3" s="4" t="s">
        <v>706</v>
      </c>
      <c r="Q3" s="3" t="s">
        <v>707</v>
      </c>
      <c r="R3" s="2"/>
      <c r="S3" s="2"/>
      <c r="T3" s="2"/>
      <c r="U3" s="2"/>
      <c r="V3" s="2"/>
      <c r="W3" s="2"/>
      <c r="X3" s="2"/>
      <c r="Y3" s="2"/>
      <c r="Z3" s="2"/>
    </row>
    <row r="4">
      <c r="A4" s="5" t="str">
        <f>IFERROR(__xludf.DUMMYFUNCTION("LEFT(A3, 4) &amp; TEXT(VALUE(REGEXEXTRACT(A3, ""\d+"")) + 1, ""0000"")"),"PSI-0002")</f>
        <v>PSI-0002</v>
      </c>
      <c r="B4" s="3" t="s">
        <v>704</v>
      </c>
      <c r="C4" s="3" t="s">
        <v>705</v>
      </c>
      <c r="D4" s="2" t="str">
        <f t="shared" si="1"/>
        <v>SENTIR EMOÇÃO | F</v>
      </c>
      <c r="E4" s="3" t="s">
        <v>20</v>
      </c>
      <c r="F4" s="3" t="s">
        <v>28</v>
      </c>
      <c r="G4" s="3" t="s">
        <v>32</v>
      </c>
      <c r="H4" s="3" t="s">
        <v>33</v>
      </c>
      <c r="I4" s="3">
        <v>2.0</v>
      </c>
      <c r="J4" s="3" t="s">
        <v>23</v>
      </c>
      <c r="K4" s="3" t="s">
        <v>34</v>
      </c>
      <c r="L4" s="3" t="s">
        <v>39</v>
      </c>
      <c r="M4" s="3" t="s">
        <v>39</v>
      </c>
      <c r="N4" s="3" t="s">
        <v>40</v>
      </c>
      <c r="O4" s="3" t="s">
        <v>23</v>
      </c>
      <c r="P4" s="4" t="s">
        <v>706</v>
      </c>
      <c r="Q4" s="3" t="s">
        <v>707</v>
      </c>
      <c r="R4" s="2"/>
      <c r="S4" s="2"/>
      <c r="T4" s="2"/>
      <c r="U4" s="2"/>
      <c r="V4" s="2"/>
      <c r="W4" s="2"/>
      <c r="X4" s="2"/>
      <c r="Y4" s="2"/>
      <c r="Z4" s="2"/>
    </row>
    <row r="5">
      <c r="A5" s="5" t="str">
        <f>IFERROR(__xludf.DUMMYFUNCTION("LEFT(A4, 4) &amp; TEXT(VALUE(REGEXEXTRACT(A4, ""\d+"")) + 1, ""0000"")"),"PSI-0003")</f>
        <v>PSI-0003</v>
      </c>
      <c r="B5" s="3" t="s">
        <v>704</v>
      </c>
      <c r="C5" s="3" t="s">
        <v>705</v>
      </c>
      <c r="D5" s="2" t="str">
        <f t="shared" si="1"/>
        <v>SENTIR EMOÇÃO | F</v>
      </c>
      <c r="E5" s="3" t="s">
        <v>20</v>
      </c>
      <c r="F5" s="3" t="s">
        <v>29</v>
      </c>
      <c r="G5" s="3" t="s">
        <v>32</v>
      </c>
      <c r="H5" s="3" t="s">
        <v>33</v>
      </c>
      <c r="I5" s="3">
        <v>2.0</v>
      </c>
      <c r="J5" s="3" t="s">
        <v>23</v>
      </c>
      <c r="K5" s="3" t="s">
        <v>34</v>
      </c>
      <c r="L5" s="3" t="s">
        <v>41</v>
      </c>
      <c r="M5" s="3" t="s">
        <v>41</v>
      </c>
      <c r="N5" s="3" t="s">
        <v>40</v>
      </c>
      <c r="O5" s="3" t="s">
        <v>23</v>
      </c>
      <c r="P5" s="4" t="s">
        <v>706</v>
      </c>
      <c r="Q5" s="3" t="s">
        <v>707</v>
      </c>
      <c r="R5" s="2"/>
      <c r="S5" s="2"/>
      <c r="T5" s="2"/>
      <c r="U5" s="2"/>
      <c r="V5" s="2"/>
      <c r="W5" s="2"/>
      <c r="X5" s="2"/>
      <c r="Y5" s="2"/>
      <c r="Z5" s="2"/>
    </row>
    <row r="6">
      <c r="A6" s="5" t="str">
        <f>IFERROR(__xludf.DUMMYFUNCTION("LEFT(A5, 4) &amp; TEXT(VALUE(REGEXEXTRACT(A5, ""\d+"")) + 1, ""0000"")"),"PSI-0004")</f>
        <v>PSI-0004</v>
      </c>
      <c r="B6" s="3" t="s">
        <v>704</v>
      </c>
      <c r="C6" s="3" t="s">
        <v>705</v>
      </c>
      <c r="D6" s="2" t="str">
        <f t="shared" si="1"/>
        <v>SENTIR EMOÇÃO | F</v>
      </c>
      <c r="E6" s="3" t="s">
        <v>20</v>
      </c>
      <c r="F6" s="3" t="s">
        <v>30</v>
      </c>
      <c r="G6" s="3" t="s">
        <v>32</v>
      </c>
      <c r="H6" s="3" t="s">
        <v>33</v>
      </c>
      <c r="I6" s="3">
        <v>2.0</v>
      </c>
      <c r="J6" s="3" t="s">
        <v>23</v>
      </c>
      <c r="K6" s="3" t="s">
        <v>34</v>
      </c>
      <c r="L6" s="3" t="s">
        <v>42</v>
      </c>
      <c r="M6" s="3" t="s">
        <v>42</v>
      </c>
      <c r="N6" s="3" t="s">
        <v>43</v>
      </c>
      <c r="O6" s="3" t="s">
        <v>23</v>
      </c>
      <c r="P6" s="4" t="s">
        <v>706</v>
      </c>
      <c r="Q6" s="3" t="s">
        <v>707</v>
      </c>
      <c r="R6" s="2"/>
      <c r="S6" s="2"/>
      <c r="T6" s="2"/>
      <c r="U6" s="2"/>
      <c r="V6" s="2"/>
      <c r="W6" s="2"/>
      <c r="X6" s="2"/>
      <c r="Y6" s="2"/>
      <c r="Z6" s="2"/>
    </row>
    <row r="7">
      <c r="A7" s="5" t="str">
        <f>IFERROR(__xludf.DUMMYFUNCTION("LEFT(A6, 4) &amp; TEXT(VALUE(REGEXEXTRACT(A6, ""\d+"")) + 1, ""0000"")"),"PSI-0005")</f>
        <v>PSI-0005</v>
      </c>
      <c r="B7" s="3" t="s">
        <v>704</v>
      </c>
      <c r="C7" s="3" t="s">
        <v>708</v>
      </c>
      <c r="D7" s="2" t="str">
        <f t="shared" si="1"/>
        <v>PROFETA DA VERDADE | F</v>
      </c>
      <c r="E7" s="3" t="s">
        <v>20</v>
      </c>
      <c r="F7" s="3" t="s">
        <v>21</v>
      </c>
      <c r="G7" s="3" t="s">
        <v>709</v>
      </c>
      <c r="H7" s="3" t="s">
        <v>33</v>
      </c>
      <c r="I7" s="3">
        <v>2.0</v>
      </c>
      <c r="J7" s="3" t="s">
        <v>23</v>
      </c>
      <c r="K7" s="3" t="s">
        <v>195</v>
      </c>
      <c r="L7" s="14" t="s">
        <v>24</v>
      </c>
      <c r="M7" s="3" t="s">
        <v>124</v>
      </c>
      <c r="N7" s="3" t="s">
        <v>36</v>
      </c>
      <c r="O7" s="3" t="s">
        <v>23</v>
      </c>
      <c r="P7" s="3" t="s">
        <v>710</v>
      </c>
      <c r="Q7" s="3" t="s">
        <v>711</v>
      </c>
      <c r="R7" s="2"/>
      <c r="S7" s="2"/>
      <c r="T7" s="2"/>
      <c r="U7" s="2"/>
      <c r="V7" s="2"/>
      <c r="W7" s="2"/>
      <c r="X7" s="2"/>
      <c r="Y7" s="2"/>
      <c r="Z7" s="2"/>
    </row>
    <row r="8">
      <c r="A8" s="5" t="str">
        <f>IFERROR(__xludf.DUMMYFUNCTION("LEFT(A7, 4) &amp; TEXT(VALUE(REGEXEXTRACT(A7, ""\d+"")) + 1, ""0000"")"),"PSI-0006")</f>
        <v>PSI-0006</v>
      </c>
      <c r="B8" s="3" t="s">
        <v>704</v>
      </c>
      <c r="C8" s="3" t="s">
        <v>708</v>
      </c>
      <c r="D8" s="2" t="str">
        <f t="shared" si="1"/>
        <v>PROFETA DA VERDADE | F</v>
      </c>
      <c r="E8" s="3" t="s">
        <v>20</v>
      </c>
      <c r="F8" s="3" t="s">
        <v>27</v>
      </c>
      <c r="G8" s="3" t="s">
        <v>709</v>
      </c>
      <c r="H8" s="3" t="s">
        <v>33</v>
      </c>
      <c r="I8" s="3">
        <v>2.0</v>
      </c>
      <c r="J8" s="3" t="s">
        <v>23</v>
      </c>
      <c r="K8" s="3" t="s">
        <v>195</v>
      </c>
      <c r="L8" s="14" t="s">
        <v>24</v>
      </c>
      <c r="M8" s="3" t="s">
        <v>124</v>
      </c>
      <c r="N8" s="3" t="s">
        <v>36</v>
      </c>
      <c r="O8" s="3" t="s">
        <v>23</v>
      </c>
      <c r="P8" s="3" t="s">
        <v>710</v>
      </c>
      <c r="Q8" s="3" t="s">
        <v>711</v>
      </c>
      <c r="R8" s="2"/>
      <c r="S8" s="2"/>
      <c r="T8" s="2"/>
      <c r="U8" s="2"/>
      <c r="V8" s="2"/>
      <c r="W8" s="2"/>
      <c r="X8" s="2"/>
      <c r="Y8" s="2"/>
      <c r="Z8" s="2"/>
    </row>
    <row r="9">
      <c r="A9" s="5" t="str">
        <f>IFERROR(__xludf.DUMMYFUNCTION("LEFT(A8, 4) &amp; TEXT(VALUE(REGEXEXTRACT(A8, ""\d+"")) + 1, ""0000"")"),"PSI-0007")</f>
        <v>PSI-0007</v>
      </c>
      <c r="B9" s="3" t="s">
        <v>704</v>
      </c>
      <c r="C9" s="3" t="s">
        <v>708</v>
      </c>
      <c r="D9" s="2" t="str">
        <f t="shared" si="1"/>
        <v>PROFETA DA VERDADE | F</v>
      </c>
      <c r="E9" s="3" t="s">
        <v>20</v>
      </c>
      <c r="F9" s="3" t="s">
        <v>28</v>
      </c>
      <c r="G9" s="3" t="s">
        <v>709</v>
      </c>
      <c r="H9" s="3" t="s">
        <v>33</v>
      </c>
      <c r="I9" s="3">
        <v>2.0</v>
      </c>
      <c r="J9" s="3" t="s">
        <v>23</v>
      </c>
      <c r="K9" s="3" t="s">
        <v>195</v>
      </c>
      <c r="L9" s="14" t="s">
        <v>24</v>
      </c>
      <c r="M9" s="3" t="s">
        <v>124</v>
      </c>
      <c r="N9" s="3" t="s">
        <v>40</v>
      </c>
      <c r="O9" s="3" t="s">
        <v>23</v>
      </c>
      <c r="P9" s="3" t="s">
        <v>710</v>
      </c>
      <c r="Q9" s="3" t="s">
        <v>711</v>
      </c>
      <c r="R9" s="2"/>
      <c r="S9" s="2"/>
      <c r="T9" s="2"/>
      <c r="U9" s="2"/>
      <c r="V9" s="2"/>
      <c r="W9" s="2"/>
      <c r="X9" s="2"/>
      <c r="Y9" s="2"/>
      <c r="Z9" s="2"/>
    </row>
    <row r="10">
      <c r="A10" s="5" t="str">
        <f>IFERROR(__xludf.DUMMYFUNCTION("LEFT(A9, 4) &amp; TEXT(VALUE(REGEXEXTRACT(A9, ""\d+"")) + 1, ""0000"")"),"PSI-0008")</f>
        <v>PSI-0008</v>
      </c>
      <c r="B10" s="3" t="s">
        <v>704</v>
      </c>
      <c r="C10" s="3" t="s">
        <v>708</v>
      </c>
      <c r="D10" s="2" t="str">
        <f t="shared" si="1"/>
        <v>PROFETA DA VERDADE | F</v>
      </c>
      <c r="E10" s="3" t="s">
        <v>20</v>
      </c>
      <c r="F10" s="3" t="s">
        <v>29</v>
      </c>
      <c r="G10" s="3" t="s">
        <v>709</v>
      </c>
      <c r="H10" s="3" t="s">
        <v>33</v>
      </c>
      <c r="I10" s="3">
        <v>2.0</v>
      </c>
      <c r="J10" s="3" t="s">
        <v>23</v>
      </c>
      <c r="K10" s="3" t="s">
        <v>195</v>
      </c>
      <c r="L10" s="14" t="s">
        <v>24</v>
      </c>
      <c r="M10" s="3" t="s">
        <v>124</v>
      </c>
      <c r="N10" s="3" t="s">
        <v>575</v>
      </c>
      <c r="O10" s="3" t="s">
        <v>23</v>
      </c>
      <c r="P10" s="3" t="s">
        <v>710</v>
      </c>
      <c r="Q10" s="3" t="s">
        <v>711</v>
      </c>
      <c r="R10" s="2"/>
      <c r="S10" s="2"/>
      <c r="T10" s="2"/>
      <c r="U10" s="2"/>
      <c r="V10" s="2"/>
      <c r="W10" s="2"/>
      <c r="X10" s="2"/>
      <c r="Y10" s="2"/>
      <c r="Z10" s="2"/>
    </row>
    <row r="11">
      <c r="A11" s="5" t="str">
        <f>IFERROR(__xludf.DUMMYFUNCTION("LEFT(A10, 4) &amp; TEXT(VALUE(REGEXEXTRACT(A10, ""\d+"")) + 1, ""0000"")"),"PSI-0009")</f>
        <v>PSI-0009</v>
      </c>
      <c r="B11" s="3" t="s">
        <v>704</v>
      </c>
      <c r="C11" s="3" t="s">
        <v>708</v>
      </c>
      <c r="D11" s="2" t="str">
        <f t="shared" si="1"/>
        <v>PROFETA DA VERDADE | F</v>
      </c>
      <c r="E11" s="3" t="s">
        <v>20</v>
      </c>
      <c r="F11" s="3" t="s">
        <v>30</v>
      </c>
      <c r="G11" s="3" t="s">
        <v>709</v>
      </c>
      <c r="H11" s="3" t="s">
        <v>33</v>
      </c>
      <c r="I11" s="3">
        <v>2.0</v>
      </c>
      <c r="J11" s="3" t="s">
        <v>23</v>
      </c>
      <c r="K11" s="3" t="s">
        <v>195</v>
      </c>
      <c r="L11" s="14" t="s">
        <v>24</v>
      </c>
      <c r="M11" s="3" t="s">
        <v>124</v>
      </c>
      <c r="N11" s="3" t="s">
        <v>43</v>
      </c>
      <c r="O11" s="3" t="s">
        <v>23</v>
      </c>
      <c r="P11" s="3" t="s">
        <v>710</v>
      </c>
      <c r="Q11" s="3" t="s">
        <v>711</v>
      </c>
      <c r="R11" s="2"/>
      <c r="S11" s="2"/>
      <c r="T11" s="2"/>
      <c r="U11" s="2"/>
      <c r="V11" s="2"/>
      <c r="W11" s="2"/>
      <c r="X11" s="2"/>
      <c r="Y11" s="2"/>
      <c r="Z11" s="2"/>
    </row>
    <row r="12">
      <c r="A12" s="5" t="str">
        <f>IFERROR(__xludf.DUMMYFUNCTION("LEFT(A11, 4) &amp; TEXT(VALUE(REGEXEXTRACT(A11, ""\d+"")) + 1, ""0000"")"),"PSI-0010")</f>
        <v>PSI-0010</v>
      </c>
      <c r="B12" s="3" t="s">
        <v>704</v>
      </c>
      <c r="C12" s="17" t="s">
        <v>712</v>
      </c>
      <c r="D12" s="2" t="str">
        <f t="shared" si="1"/>
        <v>OBRIGAR A VERDADE | M</v>
      </c>
      <c r="E12" s="3" t="s">
        <v>48</v>
      </c>
      <c r="F12" s="3" t="s">
        <v>21</v>
      </c>
      <c r="G12" s="3" t="s">
        <v>709</v>
      </c>
      <c r="H12" s="3" t="s">
        <v>713</v>
      </c>
      <c r="I12" s="3">
        <v>4.0</v>
      </c>
      <c r="J12" s="3" t="s">
        <v>23</v>
      </c>
      <c r="K12" s="3" t="s">
        <v>95</v>
      </c>
      <c r="L12" s="6" t="s">
        <v>65</v>
      </c>
      <c r="M12" s="3" t="s">
        <v>124</v>
      </c>
      <c r="N12" s="3" t="s">
        <v>629</v>
      </c>
      <c r="O12" s="3" t="s">
        <v>55</v>
      </c>
      <c r="P12" s="3" t="s">
        <v>714</v>
      </c>
      <c r="Q12" s="3"/>
      <c r="R12" s="2"/>
      <c r="S12" s="2"/>
      <c r="T12" s="2"/>
      <c r="U12" s="2"/>
      <c r="V12" s="2"/>
      <c r="W12" s="2"/>
      <c r="X12" s="2"/>
      <c r="Y12" s="2"/>
      <c r="Z12" s="2"/>
    </row>
    <row r="13">
      <c r="A13" s="5" t="str">
        <f>IFERROR(__xludf.DUMMYFUNCTION("LEFT(A12, 4) &amp; TEXT(VALUE(REGEXEXTRACT(A12, ""\d+"")) + 1, ""0000"")"),"PSI-0011")</f>
        <v>PSI-0011</v>
      </c>
      <c r="B13" s="3" t="s">
        <v>704</v>
      </c>
      <c r="C13" s="17" t="s">
        <v>712</v>
      </c>
      <c r="D13" s="2" t="str">
        <f t="shared" si="1"/>
        <v>OBRIGAR A VERDADE | M</v>
      </c>
      <c r="E13" s="3" t="s">
        <v>48</v>
      </c>
      <c r="F13" s="3" t="s">
        <v>27</v>
      </c>
      <c r="G13" s="3" t="s">
        <v>709</v>
      </c>
      <c r="H13" s="3" t="s">
        <v>713</v>
      </c>
      <c r="I13" s="3">
        <v>4.0</v>
      </c>
      <c r="J13" s="3" t="s">
        <v>23</v>
      </c>
      <c r="K13" s="3" t="s">
        <v>95</v>
      </c>
      <c r="L13" s="6" t="s">
        <v>35</v>
      </c>
      <c r="M13" s="3" t="s">
        <v>124</v>
      </c>
      <c r="N13" s="3" t="s">
        <v>631</v>
      </c>
      <c r="O13" s="3" t="s">
        <v>57</v>
      </c>
      <c r="P13" s="3" t="s">
        <v>714</v>
      </c>
      <c r="Q13" s="3"/>
      <c r="R13" s="2"/>
      <c r="S13" s="2"/>
      <c r="T13" s="2"/>
      <c r="U13" s="2"/>
      <c r="V13" s="2"/>
      <c r="W13" s="2"/>
      <c r="X13" s="2"/>
      <c r="Y13" s="2"/>
      <c r="Z13" s="2"/>
    </row>
    <row r="14">
      <c r="A14" s="5" t="str">
        <f>IFERROR(__xludf.DUMMYFUNCTION("LEFT(A13, 4) &amp; TEXT(VALUE(REGEXEXTRACT(A13, ""\d+"")) + 1, ""0000"")"),"PSI-0012")</f>
        <v>PSI-0012</v>
      </c>
      <c r="B14" s="3" t="s">
        <v>704</v>
      </c>
      <c r="C14" s="17" t="s">
        <v>712</v>
      </c>
      <c r="D14" s="2" t="str">
        <f t="shared" si="1"/>
        <v>OBRIGAR A VERDADE | M</v>
      </c>
      <c r="E14" s="3" t="s">
        <v>48</v>
      </c>
      <c r="F14" s="3" t="s">
        <v>28</v>
      </c>
      <c r="G14" s="3" t="s">
        <v>709</v>
      </c>
      <c r="H14" s="3" t="s">
        <v>713</v>
      </c>
      <c r="I14" s="3">
        <v>4.0</v>
      </c>
      <c r="J14" s="3" t="s">
        <v>23</v>
      </c>
      <c r="K14" s="3" t="s">
        <v>95</v>
      </c>
      <c r="L14" s="6" t="s">
        <v>70</v>
      </c>
      <c r="M14" s="3" t="s">
        <v>124</v>
      </c>
      <c r="N14" s="3" t="s">
        <v>632</v>
      </c>
      <c r="O14" s="3" t="s">
        <v>633</v>
      </c>
      <c r="P14" s="3" t="s">
        <v>714</v>
      </c>
      <c r="Q14" s="3"/>
      <c r="R14" s="2"/>
      <c r="S14" s="2"/>
      <c r="T14" s="2"/>
      <c r="U14" s="2"/>
      <c r="V14" s="2"/>
      <c r="W14" s="2"/>
      <c r="X14" s="2"/>
      <c r="Y14" s="2"/>
      <c r="Z14" s="2"/>
    </row>
    <row r="15">
      <c r="A15" s="5" t="str">
        <f>IFERROR(__xludf.DUMMYFUNCTION("LEFT(A14, 4) &amp; TEXT(VALUE(REGEXEXTRACT(A14, ""\d+"")) + 1, ""0000"")"),"PSI-0013")</f>
        <v>PSI-0013</v>
      </c>
      <c r="B15" s="3" t="s">
        <v>704</v>
      </c>
      <c r="C15" s="17" t="s">
        <v>712</v>
      </c>
      <c r="D15" s="2" t="str">
        <f t="shared" si="1"/>
        <v>OBRIGAR A VERDADE | M</v>
      </c>
      <c r="E15" s="3" t="s">
        <v>48</v>
      </c>
      <c r="F15" s="3" t="s">
        <v>29</v>
      </c>
      <c r="G15" s="3" t="s">
        <v>709</v>
      </c>
      <c r="H15" s="3" t="s">
        <v>713</v>
      </c>
      <c r="I15" s="3">
        <v>4.0</v>
      </c>
      <c r="J15" s="3" t="s">
        <v>23</v>
      </c>
      <c r="K15" s="3" t="s">
        <v>95</v>
      </c>
      <c r="L15" s="6" t="s">
        <v>72</v>
      </c>
      <c r="M15" s="3" t="s">
        <v>124</v>
      </c>
      <c r="N15" s="3" t="s">
        <v>634</v>
      </c>
      <c r="O15" s="3" t="s">
        <v>635</v>
      </c>
      <c r="P15" s="3" t="s">
        <v>714</v>
      </c>
      <c r="Q15" s="3"/>
      <c r="R15" s="2"/>
      <c r="S15" s="2"/>
      <c r="T15" s="2"/>
      <c r="U15" s="2"/>
      <c r="V15" s="2"/>
      <c r="W15" s="2"/>
      <c r="X15" s="2"/>
      <c r="Y15" s="2"/>
      <c r="Z15" s="2"/>
    </row>
    <row r="16">
      <c r="A16" s="5" t="str">
        <f>IFERROR(__xludf.DUMMYFUNCTION("LEFT(A15, 4) &amp; TEXT(VALUE(REGEXEXTRACT(A15, ""\d+"")) + 1, ""0000"")"),"PSI-0014")</f>
        <v>PSI-0014</v>
      </c>
      <c r="B16" s="3" t="s">
        <v>704</v>
      </c>
      <c r="C16" s="17" t="s">
        <v>712</v>
      </c>
      <c r="D16" s="2" t="str">
        <f t="shared" si="1"/>
        <v>OBRIGAR A VERDADE | M</v>
      </c>
      <c r="E16" s="3" t="s">
        <v>48</v>
      </c>
      <c r="F16" s="3" t="s">
        <v>30</v>
      </c>
      <c r="G16" s="3" t="s">
        <v>709</v>
      </c>
      <c r="H16" s="3" t="s">
        <v>713</v>
      </c>
      <c r="I16" s="3">
        <v>4.0</v>
      </c>
      <c r="J16" s="3" t="s">
        <v>23</v>
      </c>
      <c r="K16" s="3" t="s">
        <v>95</v>
      </c>
      <c r="L16" s="6" t="s">
        <v>39</v>
      </c>
      <c r="M16" s="3" t="s">
        <v>124</v>
      </c>
      <c r="N16" s="3" t="s">
        <v>636</v>
      </c>
      <c r="O16" s="3" t="s">
        <v>59</v>
      </c>
      <c r="P16" s="3" t="s">
        <v>714</v>
      </c>
      <c r="Q16" s="3"/>
      <c r="R16" s="2"/>
      <c r="S16" s="2"/>
      <c r="T16" s="2"/>
      <c r="U16" s="2"/>
      <c r="V16" s="2"/>
      <c r="W16" s="2"/>
      <c r="X16" s="2"/>
      <c r="Y16" s="2"/>
      <c r="Z16" s="2"/>
    </row>
    <row r="17">
      <c r="A17" s="5" t="str">
        <f>IFERROR(__xludf.DUMMYFUNCTION("LEFT(A16, 4) &amp; TEXT(VALUE(REGEXEXTRACT(A16, ""\d+"")) + 1, ""0000"")"),"PSI-0015")</f>
        <v>PSI-0015</v>
      </c>
      <c r="B17" s="3" t="s">
        <v>704</v>
      </c>
      <c r="C17" s="3" t="s">
        <v>715</v>
      </c>
      <c r="D17" s="2" t="str">
        <f t="shared" si="1"/>
        <v>OBRIGAR A MENTIR | M</v>
      </c>
      <c r="E17" s="3" t="s">
        <v>48</v>
      </c>
      <c r="F17" s="3" t="s">
        <v>21</v>
      </c>
      <c r="G17" s="3" t="s">
        <v>709</v>
      </c>
      <c r="H17" s="3" t="s">
        <v>713</v>
      </c>
      <c r="I17" s="3">
        <v>4.0</v>
      </c>
      <c r="J17" s="3" t="s">
        <v>23</v>
      </c>
      <c r="K17" s="3" t="s">
        <v>95</v>
      </c>
      <c r="L17" s="6" t="s">
        <v>65</v>
      </c>
      <c r="M17" s="3" t="s">
        <v>124</v>
      </c>
      <c r="N17" s="3" t="s">
        <v>629</v>
      </c>
      <c r="O17" s="3" t="s">
        <v>55</v>
      </c>
      <c r="P17" s="3" t="s">
        <v>716</v>
      </c>
      <c r="Q17" s="3"/>
      <c r="R17" s="2"/>
      <c r="S17" s="2"/>
      <c r="T17" s="2"/>
      <c r="U17" s="2"/>
      <c r="V17" s="2"/>
      <c r="W17" s="2"/>
      <c r="X17" s="2"/>
      <c r="Y17" s="2"/>
      <c r="Z17" s="2"/>
    </row>
    <row r="18">
      <c r="A18" s="5" t="str">
        <f>IFERROR(__xludf.DUMMYFUNCTION("LEFT(A17, 4) &amp; TEXT(VALUE(REGEXEXTRACT(A17, ""\d+"")) + 1, ""0000"")"),"PSI-0016")</f>
        <v>PSI-0016</v>
      </c>
      <c r="B18" s="3" t="s">
        <v>704</v>
      </c>
      <c r="C18" s="3" t="s">
        <v>715</v>
      </c>
      <c r="D18" s="2" t="str">
        <f t="shared" si="1"/>
        <v>OBRIGAR A MENTIR | M</v>
      </c>
      <c r="E18" s="3" t="s">
        <v>48</v>
      </c>
      <c r="F18" s="3" t="s">
        <v>27</v>
      </c>
      <c r="G18" s="3" t="s">
        <v>709</v>
      </c>
      <c r="H18" s="3" t="s">
        <v>713</v>
      </c>
      <c r="I18" s="3">
        <v>4.0</v>
      </c>
      <c r="J18" s="3" t="s">
        <v>23</v>
      </c>
      <c r="K18" s="3" t="s">
        <v>95</v>
      </c>
      <c r="L18" s="6" t="s">
        <v>35</v>
      </c>
      <c r="M18" s="3" t="s">
        <v>124</v>
      </c>
      <c r="N18" s="3" t="s">
        <v>631</v>
      </c>
      <c r="O18" s="3" t="s">
        <v>57</v>
      </c>
      <c r="P18" s="3" t="s">
        <v>716</v>
      </c>
      <c r="Q18" s="3"/>
      <c r="R18" s="2"/>
      <c r="S18" s="2"/>
      <c r="T18" s="2"/>
      <c r="U18" s="2"/>
      <c r="V18" s="2"/>
      <c r="W18" s="2"/>
      <c r="X18" s="2"/>
      <c r="Y18" s="2"/>
      <c r="Z18" s="2"/>
    </row>
    <row r="19">
      <c r="A19" s="5" t="str">
        <f>IFERROR(__xludf.DUMMYFUNCTION("LEFT(A18, 4) &amp; TEXT(VALUE(REGEXEXTRACT(A18, ""\d+"")) + 1, ""0000"")"),"PSI-0017")</f>
        <v>PSI-0017</v>
      </c>
      <c r="B19" s="3" t="s">
        <v>704</v>
      </c>
      <c r="C19" s="3" t="s">
        <v>715</v>
      </c>
      <c r="D19" s="2" t="str">
        <f t="shared" si="1"/>
        <v>OBRIGAR A MENTIR | M</v>
      </c>
      <c r="E19" s="3" t="s">
        <v>48</v>
      </c>
      <c r="F19" s="3" t="s">
        <v>28</v>
      </c>
      <c r="G19" s="3" t="s">
        <v>709</v>
      </c>
      <c r="H19" s="3" t="s">
        <v>713</v>
      </c>
      <c r="I19" s="3">
        <v>4.0</v>
      </c>
      <c r="J19" s="3" t="s">
        <v>23</v>
      </c>
      <c r="K19" s="3" t="s">
        <v>95</v>
      </c>
      <c r="L19" s="6" t="s">
        <v>70</v>
      </c>
      <c r="M19" s="3" t="s">
        <v>124</v>
      </c>
      <c r="N19" s="3" t="s">
        <v>632</v>
      </c>
      <c r="O19" s="3" t="s">
        <v>633</v>
      </c>
      <c r="P19" s="3" t="s">
        <v>716</v>
      </c>
      <c r="Q19" s="3"/>
      <c r="R19" s="2"/>
      <c r="S19" s="2"/>
      <c r="T19" s="2"/>
      <c r="U19" s="2"/>
      <c r="V19" s="2"/>
      <c r="W19" s="2"/>
      <c r="X19" s="2"/>
      <c r="Y19" s="2"/>
      <c r="Z19" s="2"/>
    </row>
    <row r="20">
      <c r="A20" s="5" t="str">
        <f>IFERROR(__xludf.DUMMYFUNCTION("LEFT(A19, 4) &amp; TEXT(VALUE(REGEXEXTRACT(A19, ""\d+"")) + 1, ""0000"")"),"PSI-0018")</f>
        <v>PSI-0018</v>
      </c>
      <c r="B20" s="3" t="s">
        <v>704</v>
      </c>
      <c r="C20" s="3" t="s">
        <v>715</v>
      </c>
      <c r="D20" s="2" t="str">
        <f t="shared" si="1"/>
        <v>OBRIGAR A MENTIR | M</v>
      </c>
      <c r="E20" s="3" t="s">
        <v>48</v>
      </c>
      <c r="F20" s="3" t="s">
        <v>29</v>
      </c>
      <c r="G20" s="3" t="s">
        <v>709</v>
      </c>
      <c r="H20" s="3" t="s">
        <v>713</v>
      </c>
      <c r="I20" s="3">
        <v>4.0</v>
      </c>
      <c r="J20" s="3" t="s">
        <v>23</v>
      </c>
      <c r="K20" s="3" t="s">
        <v>95</v>
      </c>
      <c r="L20" s="6" t="s">
        <v>72</v>
      </c>
      <c r="M20" s="3" t="s">
        <v>124</v>
      </c>
      <c r="N20" s="3" t="s">
        <v>634</v>
      </c>
      <c r="O20" s="3" t="s">
        <v>635</v>
      </c>
      <c r="P20" s="3" t="s">
        <v>716</v>
      </c>
      <c r="Q20" s="3"/>
      <c r="R20" s="2"/>
      <c r="S20" s="2"/>
      <c r="T20" s="2"/>
      <c r="U20" s="2"/>
      <c r="V20" s="2"/>
      <c r="W20" s="2"/>
      <c r="X20" s="2"/>
      <c r="Y20" s="2"/>
      <c r="Z20" s="2"/>
    </row>
    <row r="21">
      <c r="A21" s="5" t="str">
        <f>IFERROR(__xludf.DUMMYFUNCTION("LEFT(A20, 4) &amp; TEXT(VALUE(REGEXEXTRACT(A20, ""\d+"")) + 1, ""0000"")"),"PSI-0019")</f>
        <v>PSI-0019</v>
      </c>
      <c r="B21" s="3" t="s">
        <v>704</v>
      </c>
      <c r="C21" s="3" t="s">
        <v>715</v>
      </c>
      <c r="D21" s="2" t="str">
        <f t="shared" si="1"/>
        <v>OBRIGAR A MENTIR | M</v>
      </c>
      <c r="E21" s="3" t="s">
        <v>48</v>
      </c>
      <c r="F21" s="3" t="s">
        <v>30</v>
      </c>
      <c r="G21" s="3" t="s">
        <v>709</v>
      </c>
      <c r="H21" s="3" t="s">
        <v>713</v>
      </c>
      <c r="I21" s="3">
        <v>4.0</v>
      </c>
      <c r="J21" s="3" t="s">
        <v>23</v>
      </c>
      <c r="K21" s="3" t="s">
        <v>95</v>
      </c>
      <c r="L21" s="6" t="s">
        <v>39</v>
      </c>
      <c r="M21" s="3" t="s">
        <v>124</v>
      </c>
      <c r="N21" s="3" t="s">
        <v>636</v>
      </c>
      <c r="O21" s="3" t="s">
        <v>59</v>
      </c>
      <c r="P21" s="3" t="s">
        <v>716</v>
      </c>
      <c r="Q21" s="3"/>
      <c r="R21" s="2"/>
      <c r="S21" s="2"/>
      <c r="T21" s="2"/>
      <c r="U21" s="2"/>
      <c r="V21" s="2"/>
      <c r="W21" s="2"/>
      <c r="X21" s="2"/>
      <c r="Y21" s="2"/>
      <c r="Z21" s="2"/>
    </row>
    <row r="22">
      <c r="A22" s="5" t="str">
        <f>IFERROR(__xludf.DUMMYFUNCTION("LEFT(A21, 4) &amp; TEXT(VALUE(REGEXEXTRACT(A21, ""\d+"")) + 1, ""0000"")"),"PSI-0020")</f>
        <v>PSI-0020</v>
      </c>
      <c r="B22" s="3" t="s">
        <v>704</v>
      </c>
      <c r="C22" s="3" t="s">
        <v>717</v>
      </c>
      <c r="D22" s="2" t="str">
        <f t="shared" si="1"/>
        <v>LER PENSAMENTOS | M</v>
      </c>
      <c r="E22" s="3" t="s">
        <v>48</v>
      </c>
      <c r="F22" s="3" t="s">
        <v>21</v>
      </c>
      <c r="G22" s="3" t="s">
        <v>718</v>
      </c>
      <c r="H22" s="3" t="s">
        <v>33</v>
      </c>
      <c r="I22" s="3">
        <v>4.0</v>
      </c>
      <c r="J22" s="3" t="s">
        <v>23</v>
      </c>
      <c r="K22" s="3" t="s">
        <v>95</v>
      </c>
      <c r="L22" s="6" t="s">
        <v>65</v>
      </c>
      <c r="M22" s="3" t="s">
        <v>124</v>
      </c>
      <c r="N22" s="3" t="s">
        <v>125</v>
      </c>
      <c r="O22" s="3" t="s">
        <v>126</v>
      </c>
      <c r="P22" s="3" t="s">
        <v>719</v>
      </c>
      <c r="Q22" s="3" t="s">
        <v>720</v>
      </c>
      <c r="R22" s="2"/>
      <c r="S22" s="2"/>
      <c r="T22" s="2"/>
      <c r="U22" s="2"/>
      <c r="V22" s="2"/>
      <c r="W22" s="2"/>
      <c r="X22" s="2"/>
      <c r="Y22" s="2"/>
      <c r="Z22" s="2"/>
    </row>
    <row r="23">
      <c r="A23" s="5" t="str">
        <f>IFERROR(__xludf.DUMMYFUNCTION("LEFT(A22, 4) &amp; TEXT(VALUE(REGEXEXTRACT(A22, ""\d+"")) + 1, ""0000"")"),"PSI-0021")</f>
        <v>PSI-0021</v>
      </c>
      <c r="B23" s="3" t="s">
        <v>704</v>
      </c>
      <c r="C23" s="3" t="s">
        <v>717</v>
      </c>
      <c r="D23" s="2" t="str">
        <f t="shared" si="1"/>
        <v>LER PENSAMENTOS | M</v>
      </c>
      <c r="E23" s="3" t="s">
        <v>48</v>
      </c>
      <c r="F23" s="3" t="s">
        <v>27</v>
      </c>
      <c r="G23" s="3" t="s">
        <v>718</v>
      </c>
      <c r="H23" s="3" t="s">
        <v>33</v>
      </c>
      <c r="I23" s="3">
        <v>4.0</v>
      </c>
      <c r="J23" s="3" t="s">
        <v>23</v>
      </c>
      <c r="K23" s="3" t="s">
        <v>95</v>
      </c>
      <c r="L23" s="6" t="s">
        <v>35</v>
      </c>
      <c r="M23" s="3" t="s">
        <v>124</v>
      </c>
      <c r="N23" s="3" t="s">
        <v>128</v>
      </c>
      <c r="O23" s="3" t="s">
        <v>126</v>
      </c>
      <c r="P23" s="3" t="s">
        <v>719</v>
      </c>
      <c r="Q23" s="3" t="s">
        <v>720</v>
      </c>
      <c r="R23" s="2"/>
      <c r="S23" s="2"/>
      <c r="T23" s="2"/>
      <c r="U23" s="2"/>
      <c r="V23" s="2"/>
      <c r="W23" s="2"/>
      <c r="X23" s="2"/>
      <c r="Y23" s="2"/>
      <c r="Z23" s="2"/>
    </row>
    <row r="24">
      <c r="A24" s="5" t="str">
        <f>IFERROR(__xludf.DUMMYFUNCTION("LEFT(A23, 4) &amp; TEXT(VALUE(REGEXEXTRACT(A23, ""\d+"")) + 1, ""0000"")"),"PSI-0022")</f>
        <v>PSI-0022</v>
      </c>
      <c r="B24" s="3" t="s">
        <v>704</v>
      </c>
      <c r="C24" s="3" t="s">
        <v>717</v>
      </c>
      <c r="D24" s="2" t="str">
        <f t="shared" si="1"/>
        <v>LER PENSAMENTOS | M</v>
      </c>
      <c r="E24" s="3" t="s">
        <v>48</v>
      </c>
      <c r="F24" s="3" t="s">
        <v>28</v>
      </c>
      <c r="G24" s="3" t="s">
        <v>718</v>
      </c>
      <c r="H24" s="3" t="s">
        <v>33</v>
      </c>
      <c r="I24" s="3">
        <v>4.0</v>
      </c>
      <c r="J24" s="3" t="s">
        <v>23</v>
      </c>
      <c r="K24" s="3" t="s">
        <v>95</v>
      </c>
      <c r="L24" s="6" t="s">
        <v>70</v>
      </c>
      <c r="M24" s="3" t="s">
        <v>124</v>
      </c>
      <c r="N24" s="3" t="s">
        <v>130</v>
      </c>
      <c r="O24" s="3" t="s">
        <v>131</v>
      </c>
      <c r="P24" s="3" t="s">
        <v>719</v>
      </c>
      <c r="Q24" s="3" t="s">
        <v>720</v>
      </c>
      <c r="R24" s="2"/>
      <c r="S24" s="2"/>
      <c r="T24" s="2"/>
      <c r="U24" s="2"/>
      <c r="V24" s="2"/>
      <c r="W24" s="2"/>
      <c r="X24" s="2"/>
      <c r="Y24" s="2"/>
      <c r="Z24" s="2"/>
    </row>
    <row r="25">
      <c r="A25" s="5" t="str">
        <f>IFERROR(__xludf.DUMMYFUNCTION("LEFT(A24, 4) &amp; TEXT(VALUE(REGEXEXTRACT(A24, ""\d+"")) + 1, ""0000"")"),"PSI-0023")</f>
        <v>PSI-0023</v>
      </c>
      <c r="B25" s="3" t="s">
        <v>704</v>
      </c>
      <c r="C25" s="3" t="s">
        <v>717</v>
      </c>
      <c r="D25" s="2" t="str">
        <f t="shared" si="1"/>
        <v>LER PENSAMENTOS | M</v>
      </c>
      <c r="E25" s="3" t="s">
        <v>48</v>
      </c>
      <c r="F25" s="3" t="s">
        <v>29</v>
      </c>
      <c r="G25" s="3" t="s">
        <v>718</v>
      </c>
      <c r="H25" s="3" t="s">
        <v>33</v>
      </c>
      <c r="I25" s="3">
        <v>4.0</v>
      </c>
      <c r="J25" s="3" t="s">
        <v>23</v>
      </c>
      <c r="K25" s="3" t="s">
        <v>95</v>
      </c>
      <c r="L25" s="6" t="s">
        <v>72</v>
      </c>
      <c r="M25" s="3" t="s">
        <v>124</v>
      </c>
      <c r="N25" s="3" t="s">
        <v>133</v>
      </c>
      <c r="O25" s="3" t="s">
        <v>131</v>
      </c>
      <c r="P25" s="3" t="s">
        <v>719</v>
      </c>
      <c r="Q25" s="3" t="s">
        <v>720</v>
      </c>
      <c r="R25" s="2"/>
      <c r="S25" s="2"/>
      <c r="T25" s="2"/>
      <c r="U25" s="2"/>
      <c r="V25" s="2"/>
      <c r="W25" s="2"/>
      <c r="X25" s="2"/>
      <c r="Y25" s="2"/>
      <c r="Z25" s="2"/>
    </row>
    <row r="26">
      <c r="A26" s="5" t="str">
        <f>IFERROR(__xludf.DUMMYFUNCTION("LEFT(A25, 4) &amp; TEXT(VALUE(REGEXEXTRACT(A25, ""\d+"")) + 1, ""0000"")"),"PSI-0024")</f>
        <v>PSI-0024</v>
      </c>
      <c r="B26" s="3" t="s">
        <v>704</v>
      </c>
      <c r="C26" s="3" t="s">
        <v>717</v>
      </c>
      <c r="D26" s="2" t="str">
        <f t="shared" si="1"/>
        <v>LER PENSAMENTOS | M</v>
      </c>
      <c r="E26" s="3" t="s">
        <v>48</v>
      </c>
      <c r="F26" s="3" t="s">
        <v>30</v>
      </c>
      <c r="G26" s="3" t="s">
        <v>718</v>
      </c>
      <c r="H26" s="3" t="s">
        <v>33</v>
      </c>
      <c r="I26" s="3">
        <v>4.0</v>
      </c>
      <c r="J26" s="3" t="s">
        <v>23</v>
      </c>
      <c r="K26" s="3" t="s">
        <v>95</v>
      </c>
      <c r="L26" s="6" t="s">
        <v>39</v>
      </c>
      <c r="M26" s="3" t="s">
        <v>124</v>
      </c>
      <c r="N26" s="3" t="s">
        <v>135</v>
      </c>
      <c r="O26" s="3" t="s">
        <v>136</v>
      </c>
      <c r="P26" s="3" t="s">
        <v>719</v>
      </c>
      <c r="Q26" s="3" t="s">
        <v>720</v>
      </c>
      <c r="R26" s="2"/>
      <c r="S26" s="2"/>
      <c r="T26" s="2"/>
      <c r="U26" s="2"/>
      <c r="V26" s="2"/>
      <c r="W26" s="2"/>
      <c r="X26" s="2"/>
      <c r="Y26" s="2"/>
      <c r="Z26" s="2"/>
    </row>
    <row r="27">
      <c r="A27" s="5" t="str">
        <f>IFERROR(__xludf.DUMMYFUNCTION("LEFT(A26, 4) &amp; TEXT(VALUE(REGEXEXTRACT(A26, ""\d+"")) + 1, ""0000"")"),"PSI-0025")</f>
        <v>PSI-0025</v>
      </c>
      <c r="B27" s="3" t="s">
        <v>704</v>
      </c>
      <c r="C27" s="3" t="s">
        <v>721</v>
      </c>
      <c r="D27" s="2" t="str">
        <f t="shared" si="1"/>
        <v>PROTEGER PENSAMENTOS | M</v>
      </c>
      <c r="E27" s="3" t="s">
        <v>48</v>
      </c>
      <c r="F27" s="3" t="s">
        <v>21</v>
      </c>
      <c r="G27" s="3" t="s">
        <v>86</v>
      </c>
      <c r="H27" s="3" t="s">
        <v>33</v>
      </c>
      <c r="I27" s="3">
        <v>4.0</v>
      </c>
      <c r="J27" s="3" t="s">
        <v>23</v>
      </c>
      <c r="K27" s="3" t="s">
        <v>95</v>
      </c>
      <c r="L27" s="6" t="s">
        <v>65</v>
      </c>
      <c r="M27" s="3" t="s">
        <v>124</v>
      </c>
      <c r="N27" s="3" t="s">
        <v>125</v>
      </c>
      <c r="O27" s="3" t="s">
        <v>126</v>
      </c>
      <c r="P27" s="3" t="s">
        <v>722</v>
      </c>
      <c r="Q27" s="3" t="s">
        <v>723</v>
      </c>
      <c r="R27" s="2"/>
      <c r="S27" s="2"/>
      <c r="T27" s="2"/>
      <c r="U27" s="2"/>
      <c r="V27" s="2"/>
      <c r="W27" s="2"/>
      <c r="X27" s="2"/>
      <c r="Y27" s="2"/>
      <c r="Z27" s="2"/>
    </row>
    <row r="28">
      <c r="A28" s="5" t="str">
        <f>IFERROR(__xludf.DUMMYFUNCTION("LEFT(A27, 4) &amp; TEXT(VALUE(REGEXEXTRACT(A27, ""\d+"")) + 1, ""0000"")"),"PSI-0026")</f>
        <v>PSI-0026</v>
      </c>
      <c r="B28" s="3" t="s">
        <v>704</v>
      </c>
      <c r="C28" s="3" t="s">
        <v>721</v>
      </c>
      <c r="D28" s="2" t="str">
        <f t="shared" si="1"/>
        <v>PROTEGER PENSAMENTOS | M</v>
      </c>
      <c r="E28" s="3" t="s">
        <v>48</v>
      </c>
      <c r="F28" s="3" t="s">
        <v>27</v>
      </c>
      <c r="G28" s="3" t="s">
        <v>86</v>
      </c>
      <c r="H28" s="3" t="s">
        <v>33</v>
      </c>
      <c r="I28" s="3">
        <v>4.0</v>
      </c>
      <c r="J28" s="3" t="s">
        <v>23</v>
      </c>
      <c r="K28" s="3" t="s">
        <v>95</v>
      </c>
      <c r="L28" s="6" t="s">
        <v>35</v>
      </c>
      <c r="M28" s="3" t="s">
        <v>124</v>
      </c>
      <c r="N28" s="3" t="s">
        <v>128</v>
      </c>
      <c r="O28" s="3" t="s">
        <v>126</v>
      </c>
      <c r="P28" s="3" t="s">
        <v>722</v>
      </c>
      <c r="Q28" s="3" t="s">
        <v>723</v>
      </c>
      <c r="R28" s="2"/>
      <c r="S28" s="2"/>
      <c r="T28" s="2"/>
      <c r="U28" s="2"/>
      <c r="V28" s="2"/>
      <c r="W28" s="2"/>
      <c r="X28" s="2"/>
      <c r="Y28" s="2"/>
      <c r="Z28" s="2"/>
    </row>
    <row r="29">
      <c r="A29" s="5" t="str">
        <f>IFERROR(__xludf.DUMMYFUNCTION("LEFT(A28, 4) &amp; TEXT(VALUE(REGEXEXTRACT(A28, ""\d+"")) + 1, ""0000"")"),"PSI-0027")</f>
        <v>PSI-0027</v>
      </c>
      <c r="B29" s="3" t="s">
        <v>704</v>
      </c>
      <c r="C29" s="3" t="s">
        <v>721</v>
      </c>
      <c r="D29" s="2" t="str">
        <f t="shared" si="1"/>
        <v>PROTEGER PENSAMENTOS | M</v>
      </c>
      <c r="E29" s="3" t="s">
        <v>48</v>
      </c>
      <c r="F29" s="3" t="s">
        <v>28</v>
      </c>
      <c r="G29" s="3" t="s">
        <v>86</v>
      </c>
      <c r="H29" s="3" t="s">
        <v>33</v>
      </c>
      <c r="I29" s="3">
        <v>4.0</v>
      </c>
      <c r="J29" s="3" t="s">
        <v>23</v>
      </c>
      <c r="K29" s="3" t="s">
        <v>95</v>
      </c>
      <c r="L29" s="6" t="s">
        <v>70</v>
      </c>
      <c r="M29" s="3" t="s">
        <v>124</v>
      </c>
      <c r="N29" s="3" t="s">
        <v>130</v>
      </c>
      <c r="O29" s="3" t="s">
        <v>131</v>
      </c>
      <c r="P29" s="3" t="s">
        <v>722</v>
      </c>
      <c r="Q29" s="3" t="s">
        <v>723</v>
      </c>
      <c r="R29" s="2"/>
      <c r="S29" s="2"/>
      <c r="T29" s="2"/>
      <c r="U29" s="2"/>
      <c r="V29" s="2"/>
      <c r="W29" s="2"/>
      <c r="X29" s="2"/>
      <c r="Y29" s="2"/>
      <c r="Z29" s="2"/>
    </row>
    <row r="30">
      <c r="A30" s="5" t="str">
        <f>IFERROR(__xludf.DUMMYFUNCTION("LEFT(A29, 4) &amp; TEXT(VALUE(REGEXEXTRACT(A29, ""\d+"")) + 1, ""0000"")"),"PSI-0028")</f>
        <v>PSI-0028</v>
      </c>
      <c r="B30" s="3" t="s">
        <v>704</v>
      </c>
      <c r="C30" s="3" t="s">
        <v>721</v>
      </c>
      <c r="D30" s="2" t="str">
        <f t="shared" si="1"/>
        <v>PROTEGER PENSAMENTOS | M</v>
      </c>
      <c r="E30" s="3" t="s">
        <v>48</v>
      </c>
      <c r="F30" s="3" t="s">
        <v>29</v>
      </c>
      <c r="G30" s="3" t="s">
        <v>86</v>
      </c>
      <c r="H30" s="3" t="s">
        <v>33</v>
      </c>
      <c r="I30" s="3">
        <v>4.0</v>
      </c>
      <c r="J30" s="3" t="s">
        <v>23</v>
      </c>
      <c r="K30" s="3" t="s">
        <v>95</v>
      </c>
      <c r="L30" s="6" t="s">
        <v>72</v>
      </c>
      <c r="M30" s="3" t="s">
        <v>124</v>
      </c>
      <c r="N30" s="3" t="s">
        <v>133</v>
      </c>
      <c r="O30" s="3" t="s">
        <v>131</v>
      </c>
      <c r="P30" s="3" t="s">
        <v>722</v>
      </c>
      <c r="Q30" s="3" t="s">
        <v>723</v>
      </c>
      <c r="R30" s="2"/>
      <c r="S30" s="2"/>
      <c r="T30" s="2"/>
      <c r="U30" s="2"/>
      <c r="V30" s="2"/>
      <c r="W30" s="2"/>
      <c r="X30" s="2"/>
      <c r="Y30" s="2"/>
      <c r="Z30" s="2"/>
    </row>
    <row r="31">
      <c r="A31" s="5" t="str">
        <f>IFERROR(__xludf.DUMMYFUNCTION("LEFT(A30, 4) &amp; TEXT(VALUE(REGEXEXTRACT(A30, ""\d+"")) + 1, ""0000"")"),"PSI-0029")</f>
        <v>PSI-0029</v>
      </c>
      <c r="B31" s="3" t="s">
        <v>704</v>
      </c>
      <c r="C31" s="3" t="s">
        <v>721</v>
      </c>
      <c r="D31" s="2" t="str">
        <f t="shared" si="1"/>
        <v>PROTEGER PENSAMENTOS | M</v>
      </c>
      <c r="E31" s="3" t="s">
        <v>48</v>
      </c>
      <c r="F31" s="3" t="s">
        <v>30</v>
      </c>
      <c r="G31" s="3" t="s">
        <v>86</v>
      </c>
      <c r="H31" s="3" t="s">
        <v>33</v>
      </c>
      <c r="I31" s="3">
        <v>4.0</v>
      </c>
      <c r="J31" s="3" t="s">
        <v>23</v>
      </c>
      <c r="K31" s="3" t="s">
        <v>95</v>
      </c>
      <c r="L31" s="6" t="s">
        <v>39</v>
      </c>
      <c r="M31" s="3" t="s">
        <v>124</v>
      </c>
      <c r="N31" s="3" t="s">
        <v>135</v>
      </c>
      <c r="O31" s="3" t="s">
        <v>136</v>
      </c>
      <c r="P31" s="3" t="s">
        <v>722</v>
      </c>
      <c r="Q31" s="3" t="s">
        <v>723</v>
      </c>
      <c r="R31" s="2"/>
      <c r="S31" s="2"/>
      <c r="T31" s="2"/>
      <c r="U31" s="2"/>
      <c r="V31" s="2"/>
      <c r="W31" s="2"/>
      <c r="X31" s="2"/>
      <c r="Y31" s="2"/>
      <c r="Z31" s="2"/>
    </row>
    <row r="32">
      <c r="A32" s="5" t="str">
        <f>IFERROR(__xludf.DUMMYFUNCTION("LEFT(A31, 4) &amp; TEXT(VALUE(REGEXEXTRACT(A31, ""\d+"")) + 1, ""0000"")"),"PSI-0030")</f>
        <v>PSI-0030</v>
      </c>
      <c r="B32" s="3" t="s">
        <v>704</v>
      </c>
      <c r="C32" s="3" t="s">
        <v>724</v>
      </c>
      <c r="D32" s="2" t="str">
        <f t="shared" si="1"/>
        <v>PROCURAR NA MENTE | M</v>
      </c>
      <c r="E32" s="3" t="s">
        <v>48</v>
      </c>
      <c r="F32" s="3" t="s">
        <v>21</v>
      </c>
      <c r="G32" s="3" t="s">
        <v>718</v>
      </c>
      <c r="H32" s="3" t="s">
        <v>725</v>
      </c>
      <c r="I32" s="3">
        <v>4.0</v>
      </c>
      <c r="J32" s="3" t="s">
        <v>23</v>
      </c>
      <c r="K32" s="3" t="s">
        <v>195</v>
      </c>
      <c r="L32" s="3" t="s">
        <v>24</v>
      </c>
      <c r="M32" s="3" t="s">
        <v>124</v>
      </c>
      <c r="N32" s="3" t="s">
        <v>726</v>
      </c>
      <c r="O32" s="3" t="s">
        <v>52</v>
      </c>
      <c r="P32" s="3" t="s">
        <v>727</v>
      </c>
      <c r="Q32" s="3" t="s">
        <v>728</v>
      </c>
      <c r="R32" s="2"/>
      <c r="S32" s="2"/>
      <c r="T32" s="2"/>
      <c r="U32" s="2"/>
      <c r="V32" s="2"/>
      <c r="W32" s="2"/>
      <c r="X32" s="2"/>
      <c r="Y32" s="2"/>
      <c r="Z32" s="2"/>
    </row>
    <row r="33">
      <c r="A33" s="5" t="str">
        <f>IFERROR(__xludf.DUMMYFUNCTION("LEFT(A32, 4) &amp; TEXT(VALUE(REGEXEXTRACT(A32, ""\d+"")) + 1, ""0000"")"),"PSI-0031")</f>
        <v>PSI-0031</v>
      </c>
      <c r="B33" s="3" t="s">
        <v>704</v>
      </c>
      <c r="C33" s="3" t="s">
        <v>724</v>
      </c>
      <c r="D33" s="2" t="str">
        <f t="shared" si="1"/>
        <v>PROCURAR NA MENTE | M</v>
      </c>
      <c r="E33" s="3" t="s">
        <v>48</v>
      </c>
      <c r="F33" s="3" t="s">
        <v>27</v>
      </c>
      <c r="G33" s="3" t="s">
        <v>718</v>
      </c>
      <c r="H33" s="3" t="s">
        <v>725</v>
      </c>
      <c r="I33" s="3">
        <v>4.0</v>
      </c>
      <c r="J33" s="3" t="s">
        <v>23</v>
      </c>
      <c r="K33" s="3" t="s">
        <v>195</v>
      </c>
      <c r="L33" s="3" t="s">
        <v>24</v>
      </c>
      <c r="M33" s="3" t="s">
        <v>124</v>
      </c>
      <c r="N33" s="3" t="s">
        <v>729</v>
      </c>
      <c r="O33" s="3" t="s">
        <v>52</v>
      </c>
      <c r="P33" s="3" t="s">
        <v>727</v>
      </c>
      <c r="Q33" s="3" t="s">
        <v>728</v>
      </c>
      <c r="R33" s="2"/>
      <c r="S33" s="2"/>
      <c r="T33" s="2"/>
      <c r="U33" s="2"/>
      <c r="V33" s="2"/>
      <c r="W33" s="2"/>
      <c r="X33" s="2"/>
      <c r="Y33" s="2"/>
      <c r="Z33" s="2"/>
    </row>
    <row r="34">
      <c r="A34" s="5" t="str">
        <f>IFERROR(__xludf.DUMMYFUNCTION("LEFT(A33, 4) &amp; TEXT(VALUE(REGEXEXTRACT(A33, ""\d+"")) + 1, ""0000"")"),"PSI-0032")</f>
        <v>PSI-0032</v>
      </c>
      <c r="B34" s="3" t="s">
        <v>704</v>
      </c>
      <c r="C34" s="3" t="s">
        <v>724</v>
      </c>
      <c r="D34" s="2" t="str">
        <f t="shared" si="1"/>
        <v>PROCURAR NA MENTE | M</v>
      </c>
      <c r="E34" s="3" t="s">
        <v>48</v>
      </c>
      <c r="F34" s="3" t="s">
        <v>28</v>
      </c>
      <c r="G34" s="3" t="s">
        <v>718</v>
      </c>
      <c r="H34" s="3" t="s">
        <v>725</v>
      </c>
      <c r="I34" s="3">
        <v>4.0</v>
      </c>
      <c r="J34" s="3" t="s">
        <v>23</v>
      </c>
      <c r="K34" s="3" t="s">
        <v>195</v>
      </c>
      <c r="L34" s="3" t="s">
        <v>24</v>
      </c>
      <c r="M34" s="3" t="s">
        <v>124</v>
      </c>
      <c r="N34" s="3" t="s">
        <v>730</v>
      </c>
      <c r="O34" s="3" t="s">
        <v>52</v>
      </c>
      <c r="P34" s="3" t="s">
        <v>727</v>
      </c>
      <c r="Q34" s="3" t="s">
        <v>728</v>
      </c>
      <c r="R34" s="2"/>
      <c r="S34" s="2"/>
      <c r="T34" s="2"/>
      <c r="U34" s="2"/>
      <c r="V34" s="2"/>
      <c r="W34" s="2"/>
      <c r="X34" s="2"/>
      <c r="Y34" s="2"/>
      <c r="Z34" s="2"/>
    </row>
    <row r="35">
      <c r="A35" s="5" t="str">
        <f>IFERROR(__xludf.DUMMYFUNCTION("LEFT(A34, 4) &amp; TEXT(VALUE(REGEXEXTRACT(A34, ""\d+"")) + 1, ""0000"")"),"PSI-0033")</f>
        <v>PSI-0033</v>
      </c>
      <c r="B35" s="3" t="s">
        <v>704</v>
      </c>
      <c r="C35" s="3" t="s">
        <v>724</v>
      </c>
      <c r="D35" s="2" t="str">
        <f t="shared" si="1"/>
        <v>PROCURAR NA MENTE | M</v>
      </c>
      <c r="E35" s="3" t="s">
        <v>48</v>
      </c>
      <c r="F35" s="3" t="s">
        <v>29</v>
      </c>
      <c r="G35" s="3" t="s">
        <v>718</v>
      </c>
      <c r="H35" s="3" t="s">
        <v>725</v>
      </c>
      <c r="I35" s="3">
        <v>4.0</v>
      </c>
      <c r="J35" s="3" t="s">
        <v>23</v>
      </c>
      <c r="K35" s="3" t="s">
        <v>195</v>
      </c>
      <c r="L35" s="3" t="s">
        <v>24</v>
      </c>
      <c r="M35" s="3" t="s">
        <v>124</v>
      </c>
      <c r="N35" s="3" t="s">
        <v>731</v>
      </c>
      <c r="O35" s="3" t="s">
        <v>52</v>
      </c>
      <c r="P35" s="3" t="s">
        <v>727</v>
      </c>
      <c r="Q35" s="3" t="s">
        <v>728</v>
      </c>
      <c r="R35" s="2"/>
      <c r="S35" s="2"/>
      <c r="T35" s="2"/>
      <c r="U35" s="2"/>
      <c r="V35" s="2"/>
      <c r="W35" s="2"/>
      <c r="X35" s="2"/>
      <c r="Y35" s="2"/>
      <c r="Z35" s="2"/>
    </row>
    <row r="36">
      <c r="A36" s="5" t="str">
        <f>IFERROR(__xludf.DUMMYFUNCTION("LEFT(A35, 4) &amp; TEXT(VALUE(REGEXEXTRACT(A35, ""\d+"")) + 1, ""0000"")"),"PSI-0034")</f>
        <v>PSI-0034</v>
      </c>
      <c r="B36" s="3" t="s">
        <v>704</v>
      </c>
      <c r="C36" s="3" t="s">
        <v>724</v>
      </c>
      <c r="D36" s="2" t="str">
        <f t="shared" si="1"/>
        <v>PROCURAR NA MENTE | M</v>
      </c>
      <c r="E36" s="3" t="s">
        <v>48</v>
      </c>
      <c r="F36" s="3" t="s">
        <v>30</v>
      </c>
      <c r="G36" s="3" t="s">
        <v>718</v>
      </c>
      <c r="H36" s="3" t="s">
        <v>725</v>
      </c>
      <c r="I36" s="3">
        <v>4.0</v>
      </c>
      <c r="J36" s="3" t="s">
        <v>23</v>
      </c>
      <c r="K36" s="3" t="s">
        <v>195</v>
      </c>
      <c r="L36" s="3" t="s">
        <v>24</v>
      </c>
      <c r="M36" s="3" t="s">
        <v>124</v>
      </c>
      <c r="N36" s="3" t="s">
        <v>51</v>
      </c>
      <c r="O36" s="3" t="s">
        <v>52</v>
      </c>
      <c r="P36" s="3" t="s">
        <v>727</v>
      </c>
      <c r="Q36" s="3" t="s">
        <v>728</v>
      </c>
      <c r="R36" s="2"/>
      <c r="S36" s="2"/>
      <c r="T36" s="2"/>
      <c r="U36" s="2"/>
      <c r="V36" s="2"/>
      <c r="W36" s="2"/>
      <c r="X36" s="2"/>
      <c r="Y36" s="2"/>
      <c r="Z36" s="2"/>
    </row>
    <row r="37">
      <c r="A37" s="5" t="str">
        <f>IFERROR(__xludf.DUMMYFUNCTION("LEFT(A36, 4) &amp; TEXT(VALUE(REGEXEXTRACT(A36, ""\d+"")) + 1, ""0000"")"),"PSI-0035")</f>
        <v>PSI-0035</v>
      </c>
      <c r="B37" s="3" t="s">
        <v>704</v>
      </c>
      <c r="C37" s="3" t="s">
        <v>732</v>
      </c>
      <c r="D37" s="2" t="str">
        <f t="shared" si="1"/>
        <v>TRANSMISSÃO VIA MENTE | F</v>
      </c>
      <c r="E37" s="3" t="s">
        <v>20</v>
      </c>
      <c r="F37" s="3" t="s">
        <v>21</v>
      </c>
      <c r="G37" s="3" t="s">
        <v>733</v>
      </c>
      <c r="H37" s="3" t="s">
        <v>725</v>
      </c>
      <c r="I37" s="3">
        <v>2.0</v>
      </c>
      <c r="J37" s="3" t="s">
        <v>23</v>
      </c>
      <c r="K37" s="3" t="s">
        <v>95</v>
      </c>
      <c r="L37" s="6" t="s">
        <v>65</v>
      </c>
      <c r="M37" s="3" t="s">
        <v>124</v>
      </c>
      <c r="N37" s="3" t="s">
        <v>36</v>
      </c>
      <c r="O37" s="3" t="s">
        <v>734</v>
      </c>
      <c r="P37" s="3" t="s">
        <v>735</v>
      </c>
      <c r="Q37" s="3" t="s">
        <v>736</v>
      </c>
      <c r="R37" s="2"/>
      <c r="S37" s="2"/>
      <c r="T37" s="2"/>
      <c r="U37" s="2"/>
      <c r="V37" s="2"/>
      <c r="W37" s="2"/>
      <c r="X37" s="2"/>
      <c r="Y37" s="2"/>
      <c r="Z37" s="2"/>
    </row>
    <row r="38">
      <c r="A38" s="5" t="str">
        <f>IFERROR(__xludf.DUMMYFUNCTION("LEFT(A37, 4) &amp; TEXT(VALUE(REGEXEXTRACT(A37, ""\d+"")) + 1, ""0000"")"),"PSI-0036")</f>
        <v>PSI-0036</v>
      </c>
      <c r="B38" s="3" t="s">
        <v>704</v>
      </c>
      <c r="C38" s="3" t="s">
        <v>732</v>
      </c>
      <c r="D38" s="2" t="str">
        <f t="shared" si="1"/>
        <v>TRANSMISSÃO VIA MENTE | F</v>
      </c>
      <c r="E38" s="3" t="s">
        <v>20</v>
      </c>
      <c r="F38" s="3" t="s">
        <v>27</v>
      </c>
      <c r="G38" s="3" t="s">
        <v>733</v>
      </c>
      <c r="H38" s="3" t="s">
        <v>725</v>
      </c>
      <c r="I38" s="3">
        <v>2.0</v>
      </c>
      <c r="J38" s="3" t="s">
        <v>23</v>
      </c>
      <c r="K38" s="3" t="s">
        <v>95</v>
      </c>
      <c r="L38" s="6" t="s">
        <v>35</v>
      </c>
      <c r="M38" s="3" t="s">
        <v>124</v>
      </c>
      <c r="N38" s="3" t="s">
        <v>36</v>
      </c>
      <c r="O38" s="3" t="s">
        <v>734</v>
      </c>
      <c r="P38" s="3" t="s">
        <v>735</v>
      </c>
      <c r="Q38" s="3" t="s">
        <v>736</v>
      </c>
      <c r="R38" s="2"/>
      <c r="S38" s="2"/>
      <c r="T38" s="2"/>
      <c r="U38" s="2"/>
      <c r="V38" s="2"/>
      <c r="W38" s="2"/>
      <c r="X38" s="2"/>
      <c r="Y38" s="2"/>
      <c r="Z38" s="2"/>
    </row>
    <row r="39">
      <c r="A39" s="5" t="str">
        <f>IFERROR(__xludf.DUMMYFUNCTION("LEFT(A38, 4) &amp; TEXT(VALUE(REGEXEXTRACT(A38, ""\d+"")) + 1, ""0000"")"),"PSI-0037")</f>
        <v>PSI-0037</v>
      </c>
      <c r="B39" s="3" t="s">
        <v>704</v>
      </c>
      <c r="C39" s="3" t="s">
        <v>732</v>
      </c>
      <c r="D39" s="2" t="str">
        <f t="shared" si="1"/>
        <v>TRANSMISSÃO VIA MENTE | F</v>
      </c>
      <c r="E39" s="3" t="s">
        <v>20</v>
      </c>
      <c r="F39" s="3" t="s">
        <v>28</v>
      </c>
      <c r="G39" s="3" t="s">
        <v>733</v>
      </c>
      <c r="H39" s="3" t="s">
        <v>725</v>
      </c>
      <c r="I39" s="3">
        <v>2.0</v>
      </c>
      <c r="J39" s="3" t="s">
        <v>23</v>
      </c>
      <c r="K39" s="3" t="s">
        <v>95</v>
      </c>
      <c r="L39" s="6" t="s">
        <v>70</v>
      </c>
      <c r="M39" s="3" t="s">
        <v>124</v>
      </c>
      <c r="N39" s="3" t="s">
        <v>40</v>
      </c>
      <c r="O39" s="3" t="s">
        <v>734</v>
      </c>
      <c r="P39" s="3" t="s">
        <v>735</v>
      </c>
      <c r="Q39" s="3" t="s">
        <v>736</v>
      </c>
      <c r="R39" s="2"/>
      <c r="S39" s="2"/>
      <c r="T39" s="2"/>
      <c r="U39" s="2"/>
      <c r="V39" s="2"/>
      <c r="W39" s="2"/>
      <c r="X39" s="2"/>
      <c r="Y39" s="2"/>
      <c r="Z39" s="2"/>
    </row>
    <row r="40">
      <c r="A40" s="5" t="str">
        <f>IFERROR(__xludf.DUMMYFUNCTION("LEFT(A39, 4) &amp; TEXT(VALUE(REGEXEXTRACT(A39, ""\d+"")) + 1, ""0000"")"),"PSI-0038")</f>
        <v>PSI-0038</v>
      </c>
      <c r="B40" s="3" t="s">
        <v>704</v>
      </c>
      <c r="C40" s="3" t="s">
        <v>732</v>
      </c>
      <c r="D40" s="2" t="str">
        <f t="shared" si="1"/>
        <v>TRANSMISSÃO VIA MENTE | F</v>
      </c>
      <c r="E40" s="3" t="s">
        <v>20</v>
      </c>
      <c r="F40" s="3" t="s">
        <v>29</v>
      </c>
      <c r="G40" s="3" t="s">
        <v>733</v>
      </c>
      <c r="H40" s="3" t="s">
        <v>725</v>
      </c>
      <c r="I40" s="3">
        <v>2.0</v>
      </c>
      <c r="J40" s="3" t="s">
        <v>23</v>
      </c>
      <c r="K40" s="3" t="s">
        <v>95</v>
      </c>
      <c r="L40" s="6" t="s">
        <v>72</v>
      </c>
      <c r="M40" s="3" t="s">
        <v>124</v>
      </c>
      <c r="N40" s="3" t="s">
        <v>575</v>
      </c>
      <c r="O40" s="3" t="s">
        <v>734</v>
      </c>
      <c r="P40" s="3" t="s">
        <v>735</v>
      </c>
      <c r="Q40" s="3" t="s">
        <v>736</v>
      </c>
      <c r="R40" s="2"/>
      <c r="S40" s="2"/>
      <c r="T40" s="2"/>
      <c r="U40" s="2"/>
      <c r="V40" s="2"/>
      <c r="W40" s="2"/>
      <c r="X40" s="2"/>
      <c r="Y40" s="2"/>
      <c r="Z40" s="2"/>
    </row>
    <row r="41">
      <c r="A41" s="5" t="str">
        <f>IFERROR(__xludf.DUMMYFUNCTION("LEFT(A40, 4) &amp; TEXT(VALUE(REGEXEXTRACT(A40, ""\d+"")) + 1, ""0000"")"),"PSI-0039")</f>
        <v>PSI-0039</v>
      </c>
      <c r="B41" s="3" t="s">
        <v>704</v>
      </c>
      <c r="C41" s="3" t="s">
        <v>732</v>
      </c>
      <c r="D41" s="2" t="str">
        <f t="shared" si="1"/>
        <v>TRANSMISSÃO VIA MENTE | F</v>
      </c>
      <c r="E41" s="3" t="s">
        <v>20</v>
      </c>
      <c r="F41" s="3" t="s">
        <v>30</v>
      </c>
      <c r="G41" s="3" t="s">
        <v>733</v>
      </c>
      <c r="H41" s="3" t="s">
        <v>725</v>
      </c>
      <c r="I41" s="3">
        <v>2.0</v>
      </c>
      <c r="J41" s="3" t="s">
        <v>23</v>
      </c>
      <c r="K41" s="3" t="s">
        <v>95</v>
      </c>
      <c r="L41" s="6" t="s">
        <v>39</v>
      </c>
      <c r="M41" s="3" t="s">
        <v>124</v>
      </c>
      <c r="N41" s="3" t="s">
        <v>43</v>
      </c>
      <c r="O41" s="3" t="s">
        <v>734</v>
      </c>
      <c r="P41" s="3" t="s">
        <v>735</v>
      </c>
      <c r="Q41" s="3" t="s">
        <v>736</v>
      </c>
      <c r="R41" s="2"/>
      <c r="S41" s="2"/>
      <c r="T41" s="2"/>
      <c r="U41" s="2"/>
      <c r="V41" s="2"/>
      <c r="W41" s="2"/>
      <c r="X41" s="2"/>
      <c r="Y41" s="2"/>
      <c r="Z41" s="2"/>
    </row>
    <row r="42">
      <c r="A42" s="5" t="str">
        <f>IFERROR(__xludf.DUMMYFUNCTION("LEFT(A41, 4) &amp; TEXT(VALUE(REGEXEXTRACT(A41, ""\d+"")) + 1, ""0000"")"),"PSI-0040")</f>
        <v>PSI-0040</v>
      </c>
      <c r="B42" s="3" t="s">
        <v>704</v>
      </c>
      <c r="C42" s="3" t="s">
        <v>737</v>
      </c>
      <c r="D42" s="2" t="str">
        <f t="shared" si="1"/>
        <v>TELEPATIA | M</v>
      </c>
      <c r="E42" s="3" t="s">
        <v>48</v>
      </c>
      <c r="F42" s="3" t="s">
        <v>21</v>
      </c>
      <c r="G42" s="3" t="s">
        <v>733</v>
      </c>
      <c r="H42" s="3" t="s">
        <v>738</v>
      </c>
      <c r="I42" s="3">
        <v>4.0</v>
      </c>
      <c r="J42" s="3" t="s">
        <v>23</v>
      </c>
      <c r="K42" s="3" t="s">
        <v>95</v>
      </c>
      <c r="L42" s="6" t="s">
        <v>65</v>
      </c>
      <c r="M42" s="3" t="s">
        <v>124</v>
      </c>
      <c r="N42" s="3" t="s">
        <v>36</v>
      </c>
      <c r="O42" s="3" t="s">
        <v>734</v>
      </c>
      <c r="P42" s="3" t="s">
        <v>739</v>
      </c>
      <c r="Q42" s="3" t="s">
        <v>740</v>
      </c>
      <c r="R42" s="2"/>
      <c r="S42" s="2"/>
      <c r="T42" s="2"/>
      <c r="U42" s="2"/>
      <c r="V42" s="2"/>
      <c r="W42" s="2"/>
      <c r="X42" s="2"/>
      <c r="Y42" s="2"/>
      <c r="Z42" s="2"/>
    </row>
    <row r="43">
      <c r="A43" s="5" t="str">
        <f>IFERROR(__xludf.DUMMYFUNCTION("LEFT(A42, 4) &amp; TEXT(VALUE(REGEXEXTRACT(A42, ""\d+"")) + 1, ""0000"")"),"PSI-0041")</f>
        <v>PSI-0041</v>
      </c>
      <c r="B43" s="3" t="s">
        <v>704</v>
      </c>
      <c r="C43" s="3" t="s">
        <v>737</v>
      </c>
      <c r="D43" s="2" t="str">
        <f t="shared" si="1"/>
        <v>TELEPATIA | M</v>
      </c>
      <c r="E43" s="3" t="s">
        <v>48</v>
      </c>
      <c r="F43" s="3" t="s">
        <v>27</v>
      </c>
      <c r="G43" s="3" t="s">
        <v>733</v>
      </c>
      <c r="H43" s="3" t="s">
        <v>738</v>
      </c>
      <c r="I43" s="3">
        <v>4.0</v>
      </c>
      <c r="J43" s="3" t="s">
        <v>23</v>
      </c>
      <c r="K43" s="3" t="s">
        <v>95</v>
      </c>
      <c r="L43" s="6" t="s">
        <v>35</v>
      </c>
      <c r="M43" s="3" t="s">
        <v>124</v>
      </c>
      <c r="N43" s="3" t="s">
        <v>36</v>
      </c>
      <c r="O43" s="3" t="s">
        <v>734</v>
      </c>
      <c r="P43" s="3" t="s">
        <v>739</v>
      </c>
      <c r="Q43" s="3" t="s">
        <v>740</v>
      </c>
      <c r="R43" s="2"/>
      <c r="S43" s="2"/>
      <c r="T43" s="2"/>
      <c r="U43" s="2"/>
      <c r="V43" s="2"/>
      <c r="W43" s="2"/>
      <c r="X43" s="2"/>
      <c r="Y43" s="2"/>
      <c r="Z43" s="2"/>
    </row>
    <row r="44">
      <c r="A44" s="5" t="str">
        <f>IFERROR(__xludf.DUMMYFUNCTION("LEFT(A43, 4) &amp; TEXT(VALUE(REGEXEXTRACT(A43, ""\d+"")) + 1, ""0000"")"),"PSI-0042")</f>
        <v>PSI-0042</v>
      </c>
      <c r="B44" s="3" t="s">
        <v>704</v>
      </c>
      <c r="C44" s="3" t="s">
        <v>737</v>
      </c>
      <c r="D44" s="2" t="str">
        <f t="shared" si="1"/>
        <v>TELEPATIA | M</v>
      </c>
      <c r="E44" s="3" t="s">
        <v>48</v>
      </c>
      <c r="F44" s="3" t="s">
        <v>28</v>
      </c>
      <c r="G44" s="3" t="s">
        <v>733</v>
      </c>
      <c r="H44" s="3" t="s">
        <v>738</v>
      </c>
      <c r="I44" s="3">
        <v>4.0</v>
      </c>
      <c r="J44" s="3" t="s">
        <v>23</v>
      </c>
      <c r="K44" s="3" t="s">
        <v>95</v>
      </c>
      <c r="L44" s="6" t="s">
        <v>70</v>
      </c>
      <c r="M44" s="3" t="s">
        <v>124</v>
      </c>
      <c r="N44" s="3" t="s">
        <v>40</v>
      </c>
      <c r="O44" s="3" t="s">
        <v>734</v>
      </c>
      <c r="P44" s="3" t="s">
        <v>739</v>
      </c>
      <c r="Q44" s="3" t="s">
        <v>740</v>
      </c>
      <c r="R44" s="2"/>
      <c r="S44" s="2"/>
      <c r="T44" s="2"/>
      <c r="U44" s="2"/>
      <c r="V44" s="2"/>
      <c r="W44" s="2"/>
      <c r="X44" s="2"/>
      <c r="Y44" s="2"/>
      <c r="Z44" s="2"/>
    </row>
    <row r="45">
      <c r="A45" s="5" t="str">
        <f>IFERROR(__xludf.DUMMYFUNCTION("LEFT(A44, 4) &amp; TEXT(VALUE(REGEXEXTRACT(A44, ""\d+"")) + 1, ""0000"")"),"PSI-0043")</f>
        <v>PSI-0043</v>
      </c>
      <c r="B45" s="3" t="s">
        <v>704</v>
      </c>
      <c r="C45" s="3" t="s">
        <v>737</v>
      </c>
      <c r="D45" s="2" t="str">
        <f t="shared" si="1"/>
        <v>TELEPATIA | M</v>
      </c>
      <c r="E45" s="3" t="s">
        <v>48</v>
      </c>
      <c r="F45" s="3" t="s">
        <v>29</v>
      </c>
      <c r="G45" s="3" t="s">
        <v>733</v>
      </c>
      <c r="H45" s="3" t="s">
        <v>738</v>
      </c>
      <c r="I45" s="3">
        <v>4.0</v>
      </c>
      <c r="J45" s="3" t="s">
        <v>23</v>
      </c>
      <c r="K45" s="3" t="s">
        <v>95</v>
      </c>
      <c r="L45" s="6" t="s">
        <v>72</v>
      </c>
      <c r="M45" s="3" t="s">
        <v>124</v>
      </c>
      <c r="N45" s="3" t="s">
        <v>575</v>
      </c>
      <c r="O45" s="3" t="s">
        <v>734</v>
      </c>
      <c r="P45" s="3" t="s">
        <v>739</v>
      </c>
      <c r="Q45" s="3" t="s">
        <v>740</v>
      </c>
      <c r="R45" s="2"/>
      <c r="S45" s="2"/>
      <c r="T45" s="2"/>
      <c r="U45" s="2"/>
      <c r="V45" s="2"/>
      <c r="W45" s="2"/>
      <c r="X45" s="2"/>
      <c r="Y45" s="2"/>
      <c r="Z45" s="2"/>
    </row>
    <row r="46">
      <c r="A46" s="5" t="str">
        <f>IFERROR(__xludf.DUMMYFUNCTION("LEFT(A45, 4) &amp; TEXT(VALUE(REGEXEXTRACT(A45, ""\d+"")) + 1, ""0000"")"),"PSI-0044")</f>
        <v>PSI-0044</v>
      </c>
      <c r="B46" s="3" t="s">
        <v>704</v>
      </c>
      <c r="C46" s="3" t="s">
        <v>737</v>
      </c>
      <c r="D46" s="2" t="str">
        <f t="shared" si="1"/>
        <v>TELEPATIA | M</v>
      </c>
      <c r="E46" s="3" t="s">
        <v>48</v>
      </c>
      <c r="F46" s="3" t="s">
        <v>30</v>
      </c>
      <c r="G46" s="3" t="s">
        <v>733</v>
      </c>
      <c r="H46" s="3" t="s">
        <v>738</v>
      </c>
      <c r="I46" s="3">
        <v>4.0</v>
      </c>
      <c r="J46" s="3" t="s">
        <v>23</v>
      </c>
      <c r="K46" s="3" t="s">
        <v>95</v>
      </c>
      <c r="L46" s="6" t="s">
        <v>39</v>
      </c>
      <c r="M46" s="3" t="s">
        <v>124</v>
      </c>
      <c r="N46" s="3" t="s">
        <v>43</v>
      </c>
      <c r="O46" s="3" t="s">
        <v>734</v>
      </c>
      <c r="P46" s="3" t="s">
        <v>739</v>
      </c>
      <c r="Q46" s="3" t="s">
        <v>740</v>
      </c>
      <c r="R46" s="2"/>
      <c r="S46" s="2"/>
      <c r="T46" s="2"/>
      <c r="U46" s="2"/>
      <c r="V46" s="2"/>
      <c r="W46" s="2"/>
      <c r="X46" s="2"/>
      <c r="Y46" s="2"/>
      <c r="Z46" s="2"/>
    </row>
    <row r="47">
      <c r="A47" s="5" t="str">
        <f>IFERROR(__xludf.DUMMYFUNCTION("LEFT(A46, 4) &amp; TEXT(VALUE(REGEXEXTRACT(A46, ""\d+"")) + 1, ""0000"")"),"PSI-0045")</f>
        <v>PSI-0045</v>
      </c>
      <c r="B47" s="3" t="s">
        <v>704</v>
      </c>
      <c r="C47" s="3" t="s">
        <v>741</v>
      </c>
      <c r="D47" s="2" t="str">
        <f t="shared" si="1"/>
        <v>CAVALEIRO DA ALMA | D</v>
      </c>
      <c r="E47" s="3" t="s">
        <v>76</v>
      </c>
      <c r="F47" s="3" t="s">
        <v>21</v>
      </c>
      <c r="G47" s="3" t="s">
        <v>733</v>
      </c>
      <c r="H47" s="3" t="s">
        <v>725</v>
      </c>
      <c r="I47" s="3">
        <v>8.0</v>
      </c>
      <c r="J47" s="3" t="s">
        <v>23</v>
      </c>
      <c r="K47" s="3" t="s">
        <v>95</v>
      </c>
      <c r="L47" s="6" t="s">
        <v>65</v>
      </c>
      <c r="M47" s="3" t="s">
        <v>124</v>
      </c>
      <c r="N47" s="3" t="s">
        <v>629</v>
      </c>
      <c r="O47" s="3" t="s">
        <v>55</v>
      </c>
      <c r="P47" s="3" t="s">
        <v>742</v>
      </c>
      <c r="Q47" s="2"/>
      <c r="R47" s="2"/>
      <c r="S47" s="2"/>
      <c r="T47" s="2"/>
      <c r="U47" s="2"/>
      <c r="V47" s="2"/>
      <c r="W47" s="2"/>
      <c r="X47" s="2"/>
      <c r="Y47" s="2"/>
      <c r="Z47" s="2"/>
    </row>
    <row r="48">
      <c r="A48" s="5" t="str">
        <f>IFERROR(__xludf.DUMMYFUNCTION("LEFT(A47, 4) &amp; TEXT(VALUE(REGEXEXTRACT(A47, ""\d+"")) + 1, ""0000"")"),"PSI-0046")</f>
        <v>PSI-0046</v>
      </c>
      <c r="B48" s="3" t="s">
        <v>704</v>
      </c>
      <c r="C48" s="3" t="s">
        <v>741</v>
      </c>
      <c r="D48" s="2" t="str">
        <f t="shared" si="1"/>
        <v>CAVALEIRO DA ALMA | D</v>
      </c>
      <c r="E48" s="3" t="s">
        <v>76</v>
      </c>
      <c r="F48" s="3" t="s">
        <v>27</v>
      </c>
      <c r="G48" s="3" t="s">
        <v>733</v>
      </c>
      <c r="H48" s="3" t="s">
        <v>725</v>
      </c>
      <c r="I48" s="3">
        <v>8.0</v>
      </c>
      <c r="J48" s="3" t="s">
        <v>23</v>
      </c>
      <c r="K48" s="3" t="s">
        <v>95</v>
      </c>
      <c r="L48" s="6" t="s">
        <v>35</v>
      </c>
      <c r="M48" s="3" t="s">
        <v>124</v>
      </c>
      <c r="N48" s="3" t="s">
        <v>631</v>
      </c>
      <c r="O48" s="3" t="s">
        <v>57</v>
      </c>
      <c r="P48" s="3" t="s">
        <v>742</v>
      </c>
      <c r="Q48" s="2"/>
      <c r="R48" s="2"/>
      <c r="S48" s="2"/>
      <c r="T48" s="2"/>
      <c r="U48" s="2"/>
      <c r="V48" s="2"/>
      <c r="W48" s="2"/>
      <c r="X48" s="2"/>
      <c r="Y48" s="2"/>
      <c r="Z48" s="2"/>
    </row>
    <row r="49">
      <c r="A49" s="5" t="str">
        <f>IFERROR(__xludf.DUMMYFUNCTION("LEFT(A48, 4) &amp; TEXT(VALUE(REGEXEXTRACT(A48, ""\d+"")) + 1, ""0000"")"),"PSI-0047")</f>
        <v>PSI-0047</v>
      </c>
      <c r="B49" s="3" t="s">
        <v>704</v>
      </c>
      <c r="C49" s="3" t="s">
        <v>741</v>
      </c>
      <c r="D49" s="2" t="str">
        <f t="shared" si="1"/>
        <v>CAVALEIRO DA ALMA | D</v>
      </c>
      <c r="E49" s="3" t="s">
        <v>76</v>
      </c>
      <c r="F49" s="3" t="s">
        <v>28</v>
      </c>
      <c r="G49" s="3" t="s">
        <v>733</v>
      </c>
      <c r="H49" s="3" t="s">
        <v>725</v>
      </c>
      <c r="I49" s="3">
        <v>8.0</v>
      </c>
      <c r="J49" s="3" t="s">
        <v>23</v>
      </c>
      <c r="K49" s="3" t="s">
        <v>95</v>
      </c>
      <c r="L49" s="6" t="s">
        <v>70</v>
      </c>
      <c r="M49" s="3" t="s">
        <v>124</v>
      </c>
      <c r="N49" s="3" t="s">
        <v>632</v>
      </c>
      <c r="O49" s="3" t="s">
        <v>633</v>
      </c>
      <c r="P49" s="3" t="s">
        <v>742</v>
      </c>
      <c r="Q49" s="2"/>
      <c r="R49" s="2"/>
      <c r="S49" s="2"/>
      <c r="T49" s="2"/>
      <c r="U49" s="2"/>
      <c r="V49" s="2"/>
      <c r="W49" s="2"/>
      <c r="X49" s="2"/>
      <c r="Y49" s="2"/>
      <c r="Z49" s="2"/>
    </row>
    <row r="50">
      <c r="A50" s="5" t="str">
        <f>IFERROR(__xludf.DUMMYFUNCTION("LEFT(A49, 4) &amp; TEXT(VALUE(REGEXEXTRACT(A49, ""\d+"")) + 1, ""0000"")"),"PSI-0048")</f>
        <v>PSI-0048</v>
      </c>
      <c r="B50" s="3" t="s">
        <v>704</v>
      </c>
      <c r="C50" s="3" t="s">
        <v>741</v>
      </c>
      <c r="D50" s="2" t="str">
        <f t="shared" si="1"/>
        <v>CAVALEIRO DA ALMA | D</v>
      </c>
      <c r="E50" s="3" t="s">
        <v>76</v>
      </c>
      <c r="F50" s="3" t="s">
        <v>29</v>
      </c>
      <c r="G50" s="3" t="s">
        <v>733</v>
      </c>
      <c r="H50" s="3" t="s">
        <v>725</v>
      </c>
      <c r="I50" s="3">
        <v>8.0</v>
      </c>
      <c r="J50" s="3" t="s">
        <v>23</v>
      </c>
      <c r="K50" s="3" t="s">
        <v>95</v>
      </c>
      <c r="L50" s="6" t="s">
        <v>72</v>
      </c>
      <c r="M50" s="3" t="s">
        <v>124</v>
      </c>
      <c r="N50" s="3" t="s">
        <v>634</v>
      </c>
      <c r="O50" s="3" t="s">
        <v>635</v>
      </c>
      <c r="P50" s="3" t="s">
        <v>742</v>
      </c>
      <c r="Q50" s="2"/>
      <c r="R50" s="2"/>
      <c r="S50" s="2"/>
      <c r="T50" s="2"/>
      <c r="U50" s="2"/>
      <c r="V50" s="2"/>
      <c r="W50" s="2"/>
      <c r="X50" s="2"/>
      <c r="Y50" s="2"/>
      <c r="Z50" s="2"/>
    </row>
    <row r="51">
      <c r="A51" s="5" t="str">
        <f>IFERROR(__xludf.DUMMYFUNCTION("LEFT(A50, 4) &amp; TEXT(VALUE(REGEXEXTRACT(A50, ""\d+"")) + 1, ""0000"")"),"PSI-0049")</f>
        <v>PSI-0049</v>
      </c>
      <c r="B51" s="3" t="s">
        <v>704</v>
      </c>
      <c r="C51" s="3" t="s">
        <v>741</v>
      </c>
      <c r="D51" s="2" t="str">
        <f t="shared" si="1"/>
        <v>CAVALEIRO DA ALMA | D</v>
      </c>
      <c r="E51" s="3" t="s">
        <v>76</v>
      </c>
      <c r="F51" s="3" t="s">
        <v>30</v>
      </c>
      <c r="G51" s="3" t="s">
        <v>733</v>
      </c>
      <c r="H51" s="3" t="s">
        <v>725</v>
      </c>
      <c r="I51" s="3">
        <v>8.0</v>
      </c>
      <c r="J51" s="3" t="s">
        <v>23</v>
      </c>
      <c r="K51" s="3" t="s">
        <v>95</v>
      </c>
      <c r="L51" s="6" t="s">
        <v>39</v>
      </c>
      <c r="M51" s="3" t="s">
        <v>124</v>
      </c>
      <c r="N51" s="3" t="s">
        <v>636</v>
      </c>
      <c r="O51" s="3" t="s">
        <v>59</v>
      </c>
      <c r="P51" s="3" t="s">
        <v>742</v>
      </c>
      <c r="Q51" s="2"/>
      <c r="R51" s="2"/>
      <c r="S51" s="2"/>
      <c r="T51" s="2"/>
      <c r="U51" s="2"/>
      <c r="V51" s="2"/>
      <c r="W51" s="2"/>
      <c r="X51" s="2"/>
      <c r="Y51" s="2"/>
      <c r="Z51" s="2"/>
    </row>
    <row r="52">
      <c r="A52" s="5" t="str">
        <f>IFERROR(__xludf.DUMMYFUNCTION("LEFT(A51, 4) &amp; TEXT(VALUE(REGEXEXTRACT(A51, ""\d+"")) + 1, ""0000"")"),"PSI-0050")</f>
        <v>PSI-0050</v>
      </c>
      <c r="B52" s="3" t="s">
        <v>704</v>
      </c>
      <c r="C52" s="3" t="s">
        <v>743</v>
      </c>
      <c r="D52" s="2" t="str">
        <f t="shared" si="1"/>
        <v>ESQUECER | D</v>
      </c>
      <c r="E52" s="3" t="s">
        <v>76</v>
      </c>
      <c r="F52" s="3" t="s">
        <v>21</v>
      </c>
      <c r="G52" s="3" t="s">
        <v>744</v>
      </c>
      <c r="H52" s="3" t="s">
        <v>725</v>
      </c>
      <c r="I52" s="3">
        <v>8.0</v>
      </c>
      <c r="J52" s="3" t="s">
        <v>131</v>
      </c>
      <c r="K52" s="3" t="s">
        <v>95</v>
      </c>
      <c r="L52" s="6" t="s">
        <v>65</v>
      </c>
      <c r="M52" s="3" t="s">
        <v>124</v>
      </c>
      <c r="N52" s="3" t="s">
        <v>629</v>
      </c>
      <c r="O52" s="3" t="s">
        <v>55</v>
      </c>
      <c r="P52" s="3" t="s">
        <v>745</v>
      </c>
      <c r="Q52" s="3" t="s">
        <v>746</v>
      </c>
      <c r="R52" s="2"/>
      <c r="S52" s="2"/>
      <c r="T52" s="2"/>
      <c r="U52" s="2"/>
      <c r="V52" s="2"/>
      <c r="W52" s="2"/>
      <c r="X52" s="2"/>
      <c r="Y52" s="2"/>
      <c r="Z52" s="2"/>
    </row>
    <row r="53">
      <c r="A53" s="5" t="str">
        <f>IFERROR(__xludf.DUMMYFUNCTION("LEFT(A52, 4) &amp; TEXT(VALUE(REGEXEXTRACT(A52, ""\d+"")) + 1, ""0000"")"),"PSI-0051")</f>
        <v>PSI-0051</v>
      </c>
      <c r="B53" s="3" t="s">
        <v>704</v>
      </c>
      <c r="C53" s="3" t="s">
        <v>743</v>
      </c>
      <c r="D53" s="2" t="str">
        <f t="shared" si="1"/>
        <v>ESQUECER | D</v>
      </c>
      <c r="E53" s="3" t="s">
        <v>76</v>
      </c>
      <c r="F53" s="3" t="s">
        <v>27</v>
      </c>
      <c r="G53" s="3" t="s">
        <v>744</v>
      </c>
      <c r="H53" s="3" t="s">
        <v>725</v>
      </c>
      <c r="I53" s="3">
        <v>8.0</v>
      </c>
      <c r="J53" s="3" t="s">
        <v>131</v>
      </c>
      <c r="K53" s="3" t="s">
        <v>95</v>
      </c>
      <c r="L53" s="6" t="s">
        <v>35</v>
      </c>
      <c r="M53" s="3" t="s">
        <v>124</v>
      </c>
      <c r="N53" s="3" t="s">
        <v>631</v>
      </c>
      <c r="O53" s="3" t="s">
        <v>57</v>
      </c>
      <c r="P53" s="3" t="s">
        <v>745</v>
      </c>
      <c r="Q53" s="3" t="s">
        <v>746</v>
      </c>
      <c r="R53" s="2"/>
      <c r="S53" s="2"/>
      <c r="T53" s="2"/>
      <c r="U53" s="2"/>
      <c r="V53" s="2"/>
      <c r="W53" s="2"/>
      <c r="X53" s="2"/>
      <c r="Y53" s="2"/>
      <c r="Z53" s="2"/>
    </row>
    <row r="54">
      <c r="A54" s="5" t="str">
        <f>IFERROR(__xludf.DUMMYFUNCTION("LEFT(A53, 4) &amp; TEXT(VALUE(REGEXEXTRACT(A53, ""\d+"")) + 1, ""0000"")"),"PSI-0052")</f>
        <v>PSI-0052</v>
      </c>
      <c r="B54" s="3" t="s">
        <v>704</v>
      </c>
      <c r="C54" s="3" t="s">
        <v>743</v>
      </c>
      <c r="D54" s="2" t="str">
        <f t="shared" si="1"/>
        <v>ESQUECER | D</v>
      </c>
      <c r="E54" s="3" t="s">
        <v>76</v>
      </c>
      <c r="F54" s="3" t="s">
        <v>28</v>
      </c>
      <c r="G54" s="3" t="s">
        <v>744</v>
      </c>
      <c r="H54" s="3" t="s">
        <v>725</v>
      </c>
      <c r="I54" s="3">
        <v>8.0</v>
      </c>
      <c r="J54" s="3" t="s">
        <v>126</v>
      </c>
      <c r="K54" s="3" t="s">
        <v>95</v>
      </c>
      <c r="L54" s="6" t="s">
        <v>70</v>
      </c>
      <c r="M54" s="3" t="s">
        <v>124</v>
      </c>
      <c r="N54" s="3" t="s">
        <v>632</v>
      </c>
      <c r="O54" s="3" t="s">
        <v>633</v>
      </c>
      <c r="P54" s="3" t="s">
        <v>745</v>
      </c>
      <c r="Q54" s="3" t="s">
        <v>746</v>
      </c>
      <c r="R54" s="2"/>
      <c r="S54" s="2"/>
      <c r="T54" s="2"/>
      <c r="U54" s="2"/>
      <c r="V54" s="2"/>
      <c r="W54" s="2"/>
      <c r="X54" s="2"/>
      <c r="Y54" s="2"/>
      <c r="Z54" s="2"/>
    </row>
    <row r="55">
      <c r="A55" s="5" t="str">
        <f>IFERROR(__xludf.DUMMYFUNCTION("LEFT(A54, 4) &amp; TEXT(VALUE(REGEXEXTRACT(A54, ""\d+"")) + 1, ""0000"")"),"PSI-0053")</f>
        <v>PSI-0053</v>
      </c>
      <c r="B55" s="3" t="s">
        <v>704</v>
      </c>
      <c r="C55" s="3" t="s">
        <v>743</v>
      </c>
      <c r="D55" s="2" t="str">
        <f t="shared" si="1"/>
        <v>ESQUECER | D</v>
      </c>
      <c r="E55" s="3" t="s">
        <v>76</v>
      </c>
      <c r="F55" s="3" t="s">
        <v>29</v>
      </c>
      <c r="G55" s="3" t="s">
        <v>744</v>
      </c>
      <c r="H55" s="3" t="s">
        <v>725</v>
      </c>
      <c r="I55" s="3">
        <v>8.0</v>
      </c>
      <c r="J55" s="3" t="s">
        <v>126</v>
      </c>
      <c r="K55" s="3" t="s">
        <v>95</v>
      </c>
      <c r="L55" s="6" t="s">
        <v>72</v>
      </c>
      <c r="M55" s="3" t="s">
        <v>124</v>
      </c>
      <c r="N55" s="3" t="s">
        <v>634</v>
      </c>
      <c r="O55" s="3" t="s">
        <v>635</v>
      </c>
      <c r="P55" s="3" t="s">
        <v>745</v>
      </c>
      <c r="Q55" s="3" t="s">
        <v>746</v>
      </c>
      <c r="R55" s="2"/>
      <c r="S55" s="2"/>
      <c r="T55" s="2"/>
      <c r="U55" s="2"/>
      <c r="V55" s="2"/>
      <c r="W55" s="2"/>
      <c r="X55" s="2"/>
      <c r="Y55" s="2"/>
      <c r="Z55" s="2"/>
    </row>
    <row r="56">
      <c r="A56" s="5" t="str">
        <f>IFERROR(__xludf.DUMMYFUNCTION("LEFT(A55, 4) &amp; TEXT(VALUE(REGEXEXTRACT(A55, ""\d+"")) + 1, ""0000"")"),"PSI-0054")</f>
        <v>PSI-0054</v>
      </c>
      <c r="B56" s="3" t="s">
        <v>704</v>
      </c>
      <c r="C56" s="3" t="s">
        <v>743</v>
      </c>
      <c r="D56" s="2" t="str">
        <f t="shared" si="1"/>
        <v>ESQUECER | D</v>
      </c>
      <c r="E56" s="3" t="s">
        <v>76</v>
      </c>
      <c r="F56" s="3" t="s">
        <v>30</v>
      </c>
      <c r="G56" s="3" t="s">
        <v>744</v>
      </c>
      <c r="H56" s="3" t="s">
        <v>725</v>
      </c>
      <c r="I56" s="3">
        <v>8.0</v>
      </c>
      <c r="J56" s="3" t="s">
        <v>50</v>
      </c>
      <c r="K56" s="3" t="s">
        <v>95</v>
      </c>
      <c r="L56" s="6" t="s">
        <v>39</v>
      </c>
      <c r="M56" s="3" t="s">
        <v>124</v>
      </c>
      <c r="N56" s="3" t="s">
        <v>636</v>
      </c>
      <c r="O56" s="3" t="s">
        <v>59</v>
      </c>
      <c r="P56" s="3" t="s">
        <v>745</v>
      </c>
      <c r="Q56" s="3" t="s">
        <v>746</v>
      </c>
      <c r="R56" s="2"/>
      <c r="S56" s="2"/>
      <c r="T56" s="2"/>
      <c r="U56" s="2"/>
      <c r="V56" s="2"/>
      <c r="W56" s="2"/>
      <c r="X56" s="2"/>
      <c r="Y56" s="2"/>
      <c r="Z56" s="2"/>
    </row>
    <row r="57">
      <c r="A57" s="5" t="str">
        <f>IFERROR(__xludf.DUMMYFUNCTION("LEFT(A56, 4) &amp; TEXT(VALUE(REGEXEXTRACT(A56, ""\d+"")) + 1, ""0000"")"),"PSI-0055")</f>
        <v>PSI-0055</v>
      </c>
      <c r="B57" s="3" t="s">
        <v>704</v>
      </c>
      <c r="C57" s="3" t="s">
        <v>747</v>
      </c>
      <c r="D57" s="2" t="str">
        <f t="shared" si="1"/>
        <v>ESQUECER PERMANENTEMENTE | MD</v>
      </c>
      <c r="E57" s="3" t="s">
        <v>94</v>
      </c>
      <c r="F57" s="3" t="s">
        <v>21</v>
      </c>
      <c r="G57" s="3" t="s">
        <v>744</v>
      </c>
      <c r="H57" s="3" t="s">
        <v>748</v>
      </c>
      <c r="I57" s="3">
        <v>16.0</v>
      </c>
      <c r="J57" s="3" t="s">
        <v>131</v>
      </c>
      <c r="K57" s="3" t="s">
        <v>95</v>
      </c>
      <c r="L57" s="6" t="s">
        <v>65</v>
      </c>
      <c r="M57" s="3" t="s">
        <v>124</v>
      </c>
      <c r="N57" s="2"/>
      <c r="O57" s="3" t="s">
        <v>749</v>
      </c>
      <c r="P57" s="3" t="s">
        <v>750</v>
      </c>
      <c r="Q57" s="3" t="s">
        <v>751</v>
      </c>
      <c r="R57" s="2"/>
      <c r="S57" s="2"/>
      <c r="T57" s="2"/>
      <c r="U57" s="2"/>
      <c r="V57" s="2"/>
      <c r="W57" s="2"/>
      <c r="X57" s="2"/>
      <c r="Y57" s="2"/>
      <c r="Z57" s="2"/>
    </row>
    <row r="58">
      <c r="A58" s="5" t="str">
        <f>IFERROR(__xludf.DUMMYFUNCTION("LEFT(A57, 4) &amp; TEXT(VALUE(REGEXEXTRACT(A57, ""\d+"")) + 1, ""0000"")"),"PSI-0056")</f>
        <v>PSI-0056</v>
      </c>
      <c r="B58" s="3" t="s">
        <v>704</v>
      </c>
      <c r="C58" s="3" t="s">
        <v>747</v>
      </c>
      <c r="D58" s="2" t="str">
        <f t="shared" si="1"/>
        <v>ESQUECER PERMANENTEMENTE | MD</v>
      </c>
      <c r="E58" s="3" t="s">
        <v>94</v>
      </c>
      <c r="F58" s="3" t="s">
        <v>27</v>
      </c>
      <c r="G58" s="3" t="s">
        <v>744</v>
      </c>
      <c r="H58" s="3" t="s">
        <v>748</v>
      </c>
      <c r="I58" s="3">
        <v>16.0</v>
      </c>
      <c r="J58" s="3" t="s">
        <v>131</v>
      </c>
      <c r="K58" s="3" t="s">
        <v>95</v>
      </c>
      <c r="L58" s="6" t="s">
        <v>35</v>
      </c>
      <c r="M58" s="3" t="s">
        <v>124</v>
      </c>
      <c r="N58" s="2"/>
      <c r="O58" s="3" t="s">
        <v>749</v>
      </c>
      <c r="P58" s="3" t="s">
        <v>750</v>
      </c>
      <c r="Q58" s="3" t="s">
        <v>751</v>
      </c>
      <c r="R58" s="2"/>
      <c r="S58" s="2"/>
      <c r="T58" s="2"/>
      <c r="U58" s="2"/>
      <c r="V58" s="2"/>
      <c r="W58" s="2"/>
      <c r="X58" s="2"/>
      <c r="Y58" s="2"/>
      <c r="Z58" s="2"/>
    </row>
    <row r="59">
      <c r="A59" s="5" t="str">
        <f>IFERROR(__xludf.DUMMYFUNCTION("LEFT(A58, 4) &amp; TEXT(VALUE(REGEXEXTRACT(A58, ""\d+"")) + 1, ""0000"")"),"PSI-0057")</f>
        <v>PSI-0057</v>
      </c>
      <c r="B59" s="3" t="s">
        <v>704</v>
      </c>
      <c r="C59" s="3" t="s">
        <v>747</v>
      </c>
      <c r="D59" s="2" t="str">
        <f t="shared" si="1"/>
        <v>ESQUECER PERMANENTEMENTE | MD</v>
      </c>
      <c r="E59" s="3" t="s">
        <v>94</v>
      </c>
      <c r="F59" s="3" t="s">
        <v>28</v>
      </c>
      <c r="G59" s="3" t="s">
        <v>744</v>
      </c>
      <c r="H59" s="3" t="s">
        <v>748</v>
      </c>
      <c r="I59" s="3">
        <v>16.0</v>
      </c>
      <c r="J59" s="3" t="s">
        <v>126</v>
      </c>
      <c r="K59" s="3" t="s">
        <v>95</v>
      </c>
      <c r="L59" s="6" t="s">
        <v>70</v>
      </c>
      <c r="M59" s="3" t="s">
        <v>124</v>
      </c>
      <c r="N59" s="2"/>
      <c r="O59" s="3" t="s">
        <v>749</v>
      </c>
      <c r="P59" s="3" t="s">
        <v>750</v>
      </c>
      <c r="Q59" s="3" t="s">
        <v>751</v>
      </c>
      <c r="R59" s="2"/>
      <c r="S59" s="2"/>
      <c r="T59" s="2"/>
      <c r="U59" s="2"/>
      <c r="V59" s="2"/>
      <c r="W59" s="2"/>
      <c r="X59" s="2"/>
      <c r="Y59" s="2"/>
      <c r="Z59" s="2"/>
    </row>
    <row r="60">
      <c r="A60" s="5" t="str">
        <f>IFERROR(__xludf.DUMMYFUNCTION("LEFT(A59, 4) &amp; TEXT(VALUE(REGEXEXTRACT(A59, ""\d+"")) + 1, ""0000"")"),"PSI-0058")</f>
        <v>PSI-0058</v>
      </c>
      <c r="B60" s="3" t="s">
        <v>704</v>
      </c>
      <c r="C60" s="3" t="s">
        <v>747</v>
      </c>
      <c r="D60" s="2" t="str">
        <f t="shared" si="1"/>
        <v>ESQUECER PERMANENTEMENTE | MD</v>
      </c>
      <c r="E60" s="3" t="s">
        <v>94</v>
      </c>
      <c r="F60" s="3" t="s">
        <v>29</v>
      </c>
      <c r="G60" s="3" t="s">
        <v>744</v>
      </c>
      <c r="H60" s="3" t="s">
        <v>748</v>
      </c>
      <c r="I60" s="3">
        <v>16.0</v>
      </c>
      <c r="J60" s="3" t="s">
        <v>126</v>
      </c>
      <c r="K60" s="3" t="s">
        <v>95</v>
      </c>
      <c r="L60" s="6" t="s">
        <v>72</v>
      </c>
      <c r="M60" s="3" t="s">
        <v>124</v>
      </c>
      <c r="N60" s="2"/>
      <c r="O60" s="3" t="s">
        <v>749</v>
      </c>
      <c r="P60" s="3" t="s">
        <v>750</v>
      </c>
      <c r="Q60" s="3" t="s">
        <v>751</v>
      </c>
      <c r="R60" s="2"/>
      <c r="S60" s="2"/>
      <c r="T60" s="2"/>
      <c r="U60" s="2"/>
      <c r="V60" s="2"/>
      <c r="W60" s="2"/>
      <c r="X60" s="2"/>
      <c r="Y60" s="2"/>
      <c r="Z60" s="2"/>
    </row>
    <row r="61">
      <c r="A61" s="5" t="str">
        <f>IFERROR(__xludf.DUMMYFUNCTION("LEFT(A60, 4) &amp; TEXT(VALUE(REGEXEXTRACT(A60, ""\d+"")) + 1, ""0000"")"),"PSI-0059")</f>
        <v>PSI-0059</v>
      </c>
      <c r="B61" s="3" t="s">
        <v>704</v>
      </c>
      <c r="C61" s="3" t="s">
        <v>747</v>
      </c>
      <c r="D61" s="2" t="str">
        <f t="shared" si="1"/>
        <v>ESQUECER PERMANENTEMENTE | MD</v>
      </c>
      <c r="E61" s="3" t="s">
        <v>94</v>
      </c>
      <c r="F61" s="3" t="s">
        <v>30</v>
      </c>
      <c r="G61" s="3" t="s">
        <v>744</v>
      </c>
      <c r="H61" s="3" t="s">
        <v>748</v>
      </c>
      <c r="I61" s="3">
        <v>16.0</v>
      </c>
      <c r="J61" s="3" t="s">
        <v>50</v>
      </c>
      <c r="K61" s="3" t="s">
        <v>95</v>
      </c>
      <c r="L61" s="6" t="s">
        <v>39</v>
      </c>
      <c r="M61" s="3" t="s">
        <v>124</v>
      </c>
      <c r="N61" s="2"/>
      <c r="O61" s="3" t="s">
        <v>749</v>
      </c>
      <c r="P61" s="3" t="s">
        <v>750</v>
      </c>
      <c r="Q61" s="3" t="s">
        <v>751</v>
      </c>
      <c r="R61" s="2"/>
      <c r="S61" s="2"/>
      <c r="T61" s="2"/>
      <c r="U61" s="2"/>
      <c r="V61" s="2"/>
      <c r="W61" s="2"/>
      <c r="X61" s="2"/>
      <c r="Y61" s="2"/>
      <c r="Z61" s="2"/>
    </row>
    <row r="62">
      <c r="A62" s="5" t="str">
        <f>IFERROR(__xludf.DUMMYFUNCTION("LEFT(A61, 4) &amp; TEXT(VALUE(REGEXEXTRACT(A61, ""\d+"")) + 1, ""0000"")"),"PSI-0060")</f>
        <v>PSI-0060</v>
      </c>
      <c r="B62" s="3" t="s">
        <v>704</v>
      </c>
      <c r="C62" s="17" t="s">
        <v>752</v>
      </c>
      <c r="D62" s="2" t="str">
        <f t="shared" si="1"/>
        <v>MEMÓRIA FALSA | M</v>
      </c>
      <c r="E62" s="3" t="s">
        <v>48</v>
      </c>
      <c r="F62" s="3" t="s">
        <v>21</v>
      </c>
      <c r="G62" s="3" t="s">
        <v>744</v>
      </c>
      <c r="H62" s="3" t="s">
        <v>725</v>
      </c>
      <c r="I62" s="3">
        <v>4.0</v>
      </c>
      <c r="J62" s="3" t="s">
        <v>131</v>
      </c>
      <c r="K62" s="3" t="s">
        <v>95</v>
      </c>
      <c r="L62" s="6" t="s">
        <v>65</v>
      </c>
      <c r="M62" s="3" t="s">
        <v>124</v>
      </c>
      <c r="N62" s="3" t="s">
        <v>629</v>
      </c>
      <c r="O62" s="3" t="s">
        <v>55</v>
      </c>
      <c r="P62" s="3" t="s">
        <v>753</v>
      </c>
      <c r="Q62" s="3" t="s">
        <v>754</v>
      </c>
      <c r="R62" s="2"/>
      <c r="S62" s="2"/>
      <c r="T62" s="2"/>
      <c r="U62" s="2"/>
      <c r="V62" s="2"/>
      <c r="W62" s="2"/>
      <c r="X62" s="2"/>
      <c r="Y62" s="2"/>
      <c r="Z62" s="2"/>
    </row>
    <row r="63">
      <c r="A63" s="5" t="str">
        <f>IFERROR(__xludf.DUMMYFUNCTION("LEFT(A62, 4) &amp; TEXT(VALUE(REGEXEXTRACT(A62, ""\d+"")) + 1, ""0000"")"),"PSI-0061")</f>
        <v>PSI-0061</v>
      </c>
      <c r="B63" s="3" t="s">
        <v>704</v>
      </c>
      <c r="C63" s="17" t="s">
        <v>752</v>
      </c>
      <c r="D63" s="2" t="str">
        <f t="shared" si="1"/>
        <v>MEMÓRIA FALSA | M</v>
      </c>
      <c r="E63" s="3" t="s">
        <v>48</v>
      </c>
      <c r="F63" s="3" t="s">
        <v>27</v>
      </c>
      <c r="G63" s="3" t="s">
        <v>744</v>
      </c>
      <c r="H63" s="3" t="s">
        <v>725</v>
      </c>
      <c r="I63" s="3">
        <v>4.0</v>
      </c>
      <c r="J63" s="3" t="s">
        <v>131</v>
      </c>
      <c r="K63" s="3" t="s">
        <v>95</v>
      </c>
      <c r="L63" s="6" t="s">
        <v>35</v>
      </c>
      <c r="M63" s="3" t="s">
        <v>124</v>
      </c>
      <c r="N63" s="3" t="s">
        <v>631</v>
      </c>
      <c r="O63" s="3" t="s">
        <v>57</v>
      </c>
      <c r="P63" s="3" t="s">
        <v>753</v>
      </c>
      <c r="Q63" s="3" t="s">
        <v>754</v>
      </c>
      <c r="R63" s="2"/>
      <c r="S63" s="2"/>
      <c r="T63" s="2"/>
      <c r="U63" s="2"/>
      <c r="V63" s="2"/>
      <c r="W63" s="2"/>
      <c r="X63" s="2"/>
      <c r="Y63" s="2"/>
      <c r="Z63" s="2"/>
    </row>
    <row r="64">
      <c r="A64" s="5" t="str">
        <f>IFERROR(__xludf.DUMMYFUNCTION("LEFT(A63, 4) &amp; TEXT(VALUE(REGEXEXTRACT(A63, ""\d+"")) + 1, ""0000"")"),"PSI-0062")</f>
        <v>PSI-0062</v>
      </c>
      <c r="B64" s="3" t="s">
        <v>704</v>
      </c>
      <c r="C64" s="17" t="s">
        <v>752</v>
      </c>
      <c r="D64" s="2" t="str">
        <f t="shared" si="1"/>
        <v>MEMÓRIA FALSA | M</v>
      </c>
      <c r="E64" s="3" t="s">
        <v>48</v>
      </c>
      <c r="F64" s="3" t="s">
        <v>28</v>
      </c>
      <c r="G64" s="3" t="s">
        <v>744</v>
      </c>
      <c r="H64" s="3" t="s">
        <v>725</v>
      </c>
      <c r="I64" s="3">
        <v>4.0</v>
      </c>
      <c r="J64" s="3" t="s">
        <v>126</v>
      </c>
      <c r="K64" s="3" t="s">
        <v>95</v>
      </c>
      <c r="L64" s="6" t="s">
        <v>70</v>
      </c>
      <c r="M64" s="3" t="s">
        <v>124</v>
      </c>
      <c r="N64" s="3" t="s">
        <v>632</v>
      </c>
      <c r="O64" s="3" t="s">
        <v>633</v>
      </c>
      <c r="P64" s="3" t="s">
        <v>753</v>
      </c>
      <c r="Q64" s="3" t="s">
        <v>754</v>
      </c>
      <c r="R64" s="2"/>
      <c r="S64" s="2"/>
      <c r="T64" s="2"/>
      <c r="U64" s="2"/>
      <c r="V64" s="2"/>
      <c r="W64" s="2"/>
      <c r="X64" s="2"/>
      <c r="Y64" s="2"/>
      <c r="Z64" s="2"/>
    </row>
    <row r="65">
      <c r="A65" s="5" t="str">
        <f>IFERROR(__xludf.DUMMYFUNCTION("LEFT(A64, 4) &amp; TEXT(VALUE(REGEXEXTRACT(A64, ""\d+"")) + 1, ""0000"")"),"PSI-0063")</f>
        <v>PSI-0063</v>
      </c>
      <c r="B65" s="3" t="s">
        <v>704</v>
      </c>
      <c r="C65" s="17" t="s">
        <v>752</v>
      </c>
      <c r="D65" s="2" t="str">
        <f t="shared" si="1"/>
        <v>MEMÓRIA FALSA | M</v>
      </c>
      <c r="E65" s="3" t="s">
        <v>48</v>
      </c>
      <c r="F65" s="3" t="s">
        <v>29</v>
      </c>
      <c r="G65" s="3" t="s">
        <v>744</v>
      </c>
      <c r="H65" s="3" t="s">
        <v>725</v>
      </c>
      <c r="I65" s="3">
        <v>4.0</v>
      </c>
      <c r="J65" s="3" t="s">
        <v>126</v>
      </c>
      <c r="K65" s="3" t="s">
        <v>95</v>
      </c>
      <c r="L65" s="6" t="s">
        <v>72</v>
      </c>
      <c r="M65" s="3" t="s">
        <v>124</v>
      </c>
      <c r="N65" s="3" t="s">
        <v>634</v>
      </c>
      <c r="O65" s="3" t="s">
        <v>635</v>
      </c>
      <c r="P65" s="3" t="s">
        <v>753</v>
      </c>
      <c r="Q65" s="3" t="s">
        <v>754</v>
      </c>
      <c r="R65" s="2"/>
      <c r="S65" s="2"/>
      <c r="T65" s="2"/>
      <c r="U65" s="2"/>
      <c r="V65" s="2"/>
      <c r="W65" s="2"/>
      <c r="X65" s="2"/>
      <c r="Y65" s="2"/>
      <c r="Z65" s="2"/>
    </row>
    <row r="66">
      <c r="A66" s="5" t="str">
        <f>IFERROR(__xludf.DUMMYFUNCTION("LEFT(A65, 4) &amp; TEXT(VALUE(REGEXEXTRACT(A65, ""\d+"")) + 1, ""0000"")"),"PSI-0064")</f>
        <v>PSI-0064</v>
      </c>
      <c r="B66" s="3" t="s">
        <v>704</v>
      </c>
      <c r="C66" s="17" t="s">
        <v>752</v>
      </c>
      <c r="D66" s="2" t="str">
        <f t="shared" si="1"/>
        <v>MEMÓRIA FALSA | M</v>
      </c>
      <c r="E66" s="3" t="s">
        <v>48</v>
      </c>
      <c r="F66" s="3" t="s">
        <v>30</v>
      </c>
      <c r="G66" s="3" t="s">
        <v>744</v>
      </c>
      <c r="H66" s="3" t="s">
        <v>725</v>
      </c>
      <c r="I66" s="3">
        <v>4.0</v>
      </c>
      <c r="J66" s="3" t="s">
        <v>50</v>
      </c>
      <c r="K66" s="3" t="s">
        <v>95</v>
      </c>
      <c r="L66" s="6" t="s">
        <v>39</v>
      </c>
      <c r="M66" s="3" t="s">
        <v>124</v>
      </c>
      <c r="N66" s="3" t="s">
        <v>636</v>
      </c>
      <c r="O66" s="3" t="s">
        <v>59</v>
      </c>
      <c r="P66" s="3" t="s">
        <v>753</v>
      </c>
      <c r="Q66" s="3" t="s">
        <v>754</v>
      </c>
      <c r="R66" s="2"/>
      <c r="S66" s="2"/>
      <c r="T66" s="2"/>
      <c r="U66" s="2"/>
      <c r="V66" s="2"/>
      <c r="W66" s="2"/>
      <c r="X66" s="2"/>
      <c r="Y66" s="2"/>
      <c r="Z66" s="2"/>
    </row>
    <row r="67">
      <c r="A67" s="5" t="str">
        <f>IFERROR(__xludf.DUMMYFUNCTION("LEFT(A66, 4) &amp; TEXT(VALUE(REGEXEXTRACT(A66, ""\d+"")) + 1, ""0000"")"),"PSI-0065")</f>
        <v>PSI-0065</v>
      </c>
      <c r="B67" s="3" t="s">
        <v>704</v>
      </c>
      <c r="C67" s="3" t="s">
        <v>755</v>
      </c>
      <c r="D67" s="2" t="str">
        <f t="shared" si="1"/>
        <v>ALUCINAÇÃO | D</v>
      </c>
      <c r="E67" s="3" t="s">
        <v>76</v>
      </c>
      <c r="F67" s="3" t="s">
        <v>21</v>
      </c>
      <c r="G67" s="3" t="s">
        <v>77</v>
      </c>
      <c r="H67" s="3" t="s">
        <v>725</v>
      </c>
      <c r="I67" s="3">
        <v>8.0</v>
      </c>
      <c r="J67" s="3" t="s">
        <v>131</v>
      </c>
      <c r="K67" s="3" t="s">
        <v>95</v>
      </c>
      <c r="L67" s="6" t="s">
        <v>65</v>
      </c>
      <c r="M67" s="3" t="s">
        <v>124</v>
      </c>
      <c r="N67" s="3" t="s">
        <v>629</v>
      </c>
      <c r="O67" s="3" t="s">
        <v>55</v>
      </c>
      <c r="P67" s="3" t="s">
        <v>756</v>
      </c>
      <c r="Q67" s="3" t="s">
        <v>757</v>
      </c>
      <c r="R67" s="2"/>
      <c r="S67" s="2"/>
      <c r="T67" s="2"/>
      <c r="U67" s="2"/>
      <c r="V67" s="2"/>
      <c r="W67" s="2"/>
      <c r="X67" s="2"/>
      <c r="Y67" s="2"/>
      <c r="Z67" s="2"/>
    </row>
    <row r="68">
      <c r="A68" s="5" t="str">
        <f>IFERROR(__xludf.DUMMYFUNCTION("LEFT(A67, 4) &amp; TEXT(VALUE(REGEXEXTRACT(A67, ""\d+"")) + 1, ""0000"")"),"PSI-0066")</f>
        <v>PSI-0066</v>
      </c>
      <c r="B68" s="3" t="s">
        <v>704</v>
      </c>
      <c r="C68" s="3" t="s">
        <v>755</v>
      </c>
      <c r="D68" s="2" t="str">
        <f t="shared" si="1"/>
        <v>ALUCINAÇÃO | D</v>
      </c>
      <c r="E68" s="3" t="s">
        <v>76</v>
      </c>
      <c r="F68" s="3" t="s">
        <v>27</v>
      </c>
      <c r="G68" s="3" t="s">
        <v>77</v>
      </c>
      <c r="H68" s="3" t="s">
        <v>725</v>
      </c>
      <c r="I68" s="3">
        <v>8.0</v>
      </c>
      <c r="J68" s="3" t="s">
        <v>131</v>
      </c>
      <c r="K68" s="3" t="s">
        <v>95</v>
      </c>
      <c r="L68" s="6" t="s">
        <v>35</v>
      </c>
      <c r="M68" s="3" t="s">
        <v>124</v>
      </c>
      <c r="N68" s="3" t="s">
        <v>631</v>
      </c>
      <c r="O68" s="3" t="s">
        <v>57</v>
      </c>
      <c r="P68" s="3" t="s">
        <v>756</v>
      </c>
      <c r="Q68" s="3" t="s">
        <v>757</v>
      </c>
      <c r="R68" s="2"/>
      <c r="S68" s="2"/>
      <c r="T68" s="2"/>
      <c r="U68" s="2"/>
      <c r="V68" s="2"/>
      <c r="W68" s="2"/>
      <c r="X68" s="2"/>
      <c r="Y68" s="2"/>
      <c r="Z68" s="2"/>
    </row>
    <row r="69">
      <c r="A69" s="5" t="str">
        <f>IFERROR(__xludf.DUMMYFUNCTION("LEFT(A68, 4) &amp; TEXT(VALUE(REGEXEXTRACT(A68, ""\d+"")) + 1, ""0000"")"),"PSI-0067")</f>
        <v>PSI-0067</v>
      </c>
      <c r="B69" s="3" t="s">
        <v>704</v>
      </c>
      <c r="C69" s="3" t="s">
        <v>755</v>
      </c>
      <c r="D69" s="2" t="str">
        <f t="shared" si="1"/>
        <v>ALUCINAÇÃO | D</v>
      </c>
      <c r="E69" s="3" t="s">
        <v>76</v>
      </c>
      <c r="F69" s="3" t="s">
        <v>28</v>
      </c>
      <c r="G69" s="3" t="s">
        <v>77</v>
      </c>
      <c r="H69" s="3" t="s">
        <v>725</v>
      </c>
      <c r="I69" s="3">
        <v>8.0</v>
      </c>
      <c r="J69" s="3" t="s">
        <v>126</v>
      </c>
      <c r="K69" s="3" t="s">
        <v>95</v>
      </c>
      <c r="L69" s="6" t="s">
        <v>70</v>
      </c>
      <c r="M69" s="3" t="s">
        <v>124</v>
      </c>
      <c r="N69" s="3" t="s">
        <v>632</v>
      </c>
      <c r="O69" s="3" t="s">
        <v>633</v>
      </c>
      <c r="P69" s="3" t="s">
        <v>756</v>
      </c>
      <c r="Q69" s="3" t="s">
        <v>757</v>
      </c>
      <c r="R69" s="2"/>
      <c r="S69" s="2"/>
      <c r="T69" s="2"/>
      <c r="U69" s="2"/>
      <c r="V69" s="2"/>
      <c r="W69" s="2"/>
      <c r="X69" s="2"/>
      <c r="Y69" s="2"/>
      <c r="Z69" s="2"/>
    </row>
    <row r="70">
      <c r="A70" s="5" t="str">
        <f>IFERROR(__xludf.DUMMYFUNCTION("LEFT(A69, 4) &amp; TEXT(VALUE(REGEXEXTRACT(A69, ""\d+"")) + 1, ""0000"")"),"PSI-0068")</f>
        <v>PSI-0068</v>
      </c>
      <c r="B70" s="3" t="s">
        <v>704</v>
      </c>
      <c r="C70" s="3" t="s">
        <v>755</v>
      </c>
      <c r="D70" s="2" t="str">
        <f t="shared" si="1"/>
        <v>ALUCINAÇÃO | D</v>
      </c>
      <c r="E70" s="3" t="s">
        <v>76</v>
      </c>
      <c r="F70" s="3" t="s">
        <v>29</v>
      </c>
      <c r="G70" s="3" t="s">
        <v>77</v>
      </c>
      <c r="H70" s="3" t="s">
        <v>725</v>
      </c>
      <c r="I70" s="3">
        <v>8.0</v>
      </c>
      <c r="J70" s="3" t="s">
        <v>126</v>
      </c>
      <c r="K70" s="3" t="s">
        <v>95</v>
      </c>
      <c r="L70" s="6" t="s">
        <v>72</v>
      </c>
      <c r="M70" s="3" t="s">
        <v>124</v>
      </c>
      <c r="N70" s="3" t="s">
        <v>634</v>
      </c>
      <c r="O70" s="3" t="s">
        <v>635</v>
      </c>
      <c r="P70" s="3" t="s">
        <v>756</v>
      </c>
      <c r="Q70" s="3" t="s">
        <v>757</v>
      </c>
      <c r="R70" s="2"/>
      <c r="S70" s="2"/>
      <c r="T70" s="2"/>
      <c r="U70" s="2"/>
      <c r="V70" s="2"/>
      <c r="W70" s="2"/>
      <c r="X70" s="2"/>
      <c r="Y70" s="2"/>
      <c r="Z70" s="2"/>
    </row>
    <row r="71">
      <c r="A71" s="5" t="str">
        <f>IFERROR(__xludf.DUMMYFUNCTION("LEFT(A70, 4) &amp; TEXT(VALUE(REGEXEXTRACT(A70, ""\d+"")) + 1, ""0000"")"),"PSI-0069")</f>
        <v>PSI-0069</v>
      </c>
      <c r="B71" s="3" t="s">
        <v>704</v>
      </c>
      <c r="C71" s="3" t="s">
        <v>755</v>
      </c>
      <c r="D71" s="2" t="str">
        <f t="shared" si="1"/>
        <v>ALUCINAÇÃO | D</v>
      </c>
      <c r="E71" s="3" t="s">
        <v>76</v>
      </c>
      <c r="F71" s="3" t="s">
        <v>30</v>
      </c>
      <c r="G71" s="3" t="s">
        <v>77</v>
      </c>
      <c r="H71" s="3" t="s">
        <v>725</v>
      </c>
      <c r="I71" s="3">
        <v>8.0</v>
      </c>
      <c r="J71" s="3" t="s">
        <v>50</v>
      </c>
      <c r="K71" s="3" t="s">
        <v>95</v>
      </c>
      <c r="L71" s="6" t="s">
        <v>39</v>
      </c>
      <c r="M71" s="3" t="s">
        <v>124</v>
      </c>
      <c r="N71" s="3" t="s">
        <v>636</v>
      </c>
      <c r="O71" s="3" t="s">
        <v>59</v>
      </c>
      <c r="P71" s="3" t="s">
        <v>756</v>
      </c>
      <c r="Q71" s="3" t="s">
        <v>757</v>
      </c>
      <c r="R71" s="2"/>
      <c r="S71" s="2"/>
      <c r="T71" s="2"/>
      <c r="U71" s="2"/>
      <c r="V71" s="2"/>
      <c r="W71" s="2"/>
      <c r="X71" s="2"/>
      <c r="Y71" s="2"/>
      <c r="Z71" s="2"/>
    </row>
    <row r="72">
      <c r="A72" s="5" t="str">
        <f>IFERROR(__xludf.DUMMYFUNCTION("LEFT(A71, 4) &amp; TEXT(VALUE(REGEXEXTRACT(A71, ""\d+"")) + 1, ""0000"")"),"PSI-0070")</f>
        <v>PSI-0070</v>
      </c>
      <c r="B72" s="3" t="s">
        <v>704</v>
      </c>
      <c r="C72" s="3" t="s">
        <v>758</v>
      </c>
      <c r="D72" s="2" t="str">
        <f t="shared" si="1"/>
        <v>GRANDE ALUCINAÇÃO | MD</v>
      </c>
      <c r="E72" s="3" t="s">
        <v>94</v>
      </c>
      <c r="F72" s="3" t="s">
        <v>21</v>
      </c>
      <c r="G72" s="3" t="s">
        <v>77</v>
      </c>
      <c r="H72" s="3" t="s">
        <v>759</v>
      </c>
      <c r="I72" s="3">
        <v>16.0</v>
      </c>
      <c r="J72" s="3" t="s">
        <v>131</v>
      </c>
      <c r="K72" s="3" t="s">
        <v>95</v>
      </c>
      <c r="L72" s="6" t="s">
        <v>65</v>
      </c>
      <c r="M72" s="3" t="s">
        <v>124</v>
      </c>
      <c r="N72" s="3" t="s">
        <v>629</v>
      </c>
      <c r="O72" s="3" t="s">
        <v>55</v>
      </c>
      <c r="P72" s="3" t="s">
        <v>760</v>
      </c>
      <c r="Q72" s="3" t="s">
        <v>761</v>
      </c>
      <c r="R72" s="2"/>
      <c r="S72" s="2"/>
      <c r="T72" s="2"/>
      <c r="U72" s="2"/>
      <c r="V72" s="2"/>
      <c r="W72" s="2"/>
      <c r="X72" s="2"/>
      <c r="Y72" s="2"/>
      <c r="Z72" s="2"/>
    </row>
    <row r="73">
      <c r="A73" s="5" t="str">
        <f>IFERROR(__xludf.DUMMYFUNCTION("LEFT(A72, 4) &amp; TEXT(VALUE(REGEXEXTRACT(A72, ""\d+"")) + 1, ""0000"")"),"PSI-0071")</f>
        <v>PSI-0071</v>
      </c>
      <c r="B73" s="3" t="s">
        <v>704</v>
      </c>
      <c r="C73" s="3" t="s">
        <v>758</v>
      </c>
      <c r="D73" s="2" t="str">
        <f t="shared" si="1"/>
        <v>GRANDE ALUCINAÇÃO | MD</v>
      </c>
      <c r="E73" s="3" t="s">
        <v>94</v>
      </c>
      <c r="F73" s="3" t="s">
        <v>27</v>
      </c>
      <c r="G73" s="3" t="s">
        <v>77</v>
      </c>
      <c r="H73" s="3" t="s">
        <v>759</v>
      </c>
      <c r="I73" s="3">
        <v>16.0</v>
      </c>
      <c r="J73" s="3" t="s">
        <v>131</v>
      </c>
      <c r="K73" s="3" t="s">
        <v>95</v>
      </c>
      <c r="L73" s="6" t="s">
        <v>35</v>
      </c>
      <c r="M73" s="3" t="s">
        <v>124</v>
      </c>
      <c r="N73" s="3" t="s">
        <v>631</v>
      </c>
      <c r="O73" s="3" t="s">
        <v>57</v>
      </c>
      <c r="P73" s="3" t="s">
        <v>760</v>
      </c>
      <c r="Q73" s="3" t="s">
        <v>761</v>
      </c>
      <c r="R73" s="2"/>
      <c r="S73" s="2"/>
      <c r="T73" s="2"/>
      <c r="U73" s="2"/>
      <c r="V73" s="2"/>
      <c r="W73" s="2"/>
      <c r="X73" s="2"/>
      <c r="Y73" s="2"/>
      <c r="Z73" s="2"/>
    </row>
    <row r="74">
      <c r="A74" s="5" t="str">
        <f>IFERROR(__xludf.DUMMYFUNCTION("LEFT(A73, 4) &amp; TEXT(VALUE(REGEXEXTRACT(A73, ""\d+"")) + 1, ""0000"")"),"PSI-0072")</f>
        <v>PSI-0072</v>
      </c>
      <c r="B74" s="3" t="s">
        <v>704</v>
      </c>
      <c r="C74" s="3" t="s">
        <v>758</v>
      </c>
      <c r="D74" s="2" t="str">
        <f t="shared" si="1"/>
        <v>GRANDE ALUCINAÇÃO | MD</v>
      </c>
      <c r="E74" s="3" t="s">
        <v>94</v>
      </c>
      <c r="F74" s="3" t="s">
        <v>28</v>
      </c>
      <c r="G74" s="3" t="s">
        <v>77</v>
      </c>
      <c r="H74" s="3" t="s">
        <v>759</v>
      </c>
      <c r="I74" s="3">
        <v>16.0</v>
      </c>
      <c r="J74" s="3" t="s">
        <v>126</v>
      </c>
      <c r="K74" s="3" t="s">
        <v>95</v>
      </c>
      <c r="L74" s="6" t="s">
        <v>70</v>
      </c>
      <c r="M74" s="3" t="s">
        <v>124</v>
      </c>
      <c r="N74" s="3" t="s">
        <v>632</v>
      </c>
      <c r="O74" s="3" t="s">
        <v>633</v>
      </c>
      <c r="P74" s="3" t="s">
        <v>760</v>
      </c>
      <c r="Q74" s="3" t="s">
        <v>761</v>
      </c>
      <c r="R74" s="2"/>
      <c r="S74" s="2"/>
      <c r="T74" s="2"/>
      <c r="U74" s="2"/>
      <c r="V74" s="2"/>
      <c r="W74" s="2"/>
      <c r="X74" s="2"/>
      <c r="Y74" s="2"/>
      <c r="Z74" s="2"/>
    </row>
    <row r="75">
      <c r="A75" s="5" t="str">
        <f>IFERROR(__xludf.DUMMYFUNCTION("LEFT(A74, 4) &amp; TEXT(VALUE(REGEXEXTRACT(A74, ""\d+"")) + 1, ""0000"")"),"PSI-0073")</f>
        <v>PSI-0073</v>
      </c>
      <c r="B75" s="3" t="s">
        <v>704</v>
      </c>
      <c r="C75" s="3" t="s">
        <v>758</v>
      </c>
      <c r="D75" s="2" t="str">
        <f t="shared" si="1"/>
        <v>GRANDE ALUCINAÇÃO | MD</v>
      </c>
      <c r="E75" s="3" t="s">
        <v>94</v>
      </c>
      <c r="F75" s="3" t="s">
        <v>29</v>
      </c>
      <c r="G75" s="3" t="s">
        <v>77</v>
      </c>
      <c r="H75" s="3" t="s">
        <v>759</v>
      </c>
      <c r="I75" s="3">
        <v>16.0</v>
      </c>
      <c r="J75" s="3" t="s">
        <v>126</v>
      </c>
      <c r="K75" s="3" t="s">
        <v>95</v>
      </c>
      <c r="L75" s="6" t="s">
        <v>72</v>
      </c>
      <c r="M75" s="3" t="s">
        <v>124</v>
      </c>
      <c r="N75" s="3" t="s">
        <v>634</v>
      </c>
      <c r="O75" s="3" t="s">
        <v>635</v>
      </c>
      <c r="P75" s="3" t="s">
        <v>760</v>
      </c>
      <c r="Q75" s="3" t="s">
        <v>761</v>
      </c>
      <c r="R75" s="2"/>
      <c r="S75" s="2"/>
      <c r="T75" s="2"/>
      <c r="U75" s="2"/>
      <c r="V75" s="2"/>
      <c r="W75" s="2"/>
      <c r="X75" s="2"/>
      <c r="Y75" s="2"/>
      <c r="Z75" s="2"/>
    </row>
    <row r="76">
      <c r="A76" s="5" t="str">
        <f>IFERROR(__xludf.DUMMYFUNCTION("LEFT(A75, 4) &amp; TEXT(VALUE(REGEXEXTRACT(A75, ""\d+"")) + 1, ""0000"")"),"PSI-0074")</f>
        <v>PSI-0074</v>
      </c>
      <c r="B76" s="3" t="s">
        <v>704</v>
      </c>
      <c r="C76" s="3" t="s">
        <v>758</v>
      </c>
      <c r="D76" s="2" t="str">
        <f t="shared" si="1"/>
        <v>GRANDE ALUCINAÇÃO | MD</v>
      </c>
      <c r="E76" s="3" t="s">
        <v>94</v>
      </c>
      <c r="F76" s="3" t="s">
        <v>30</v>
      </c>
      <c r="G76" s="3" t="s">
        <v>77</v>
      </c>
      <c r="H76" s="3" t="s">
        <v>759</v>
      </c>
      <c r="I76" s="3">
        <v>16.0</v>
      </c>
      <c r="J76" s="3" t="s">
        <v>50</v>
      </c>
      <c r="K76" s="3" t="s">
        <v>95</v>
      </c>
      <c r="L76" s="6" t="s">
        <v>39</v>
      </c>
      <c r="M76" s="3" t="s">
        <v>124</v>
      </c>
      <c r="N76" s="3" t="s">
        <v>636</v>
      </c>
      <c r="O76" s="3" t="s">
        <v>59</v>
      </c>
      <c r="P76" s="3" t="s">
        <v>760</v>
      </c>
      <c r="Q76" s="3" t="s">
        <v>761</v>
      </c>
      <c r="R76" s="2"/>
      <c r="S76" s="2"/>
      <c r="T76" s="2"/>
      <c r="U76" s="2"/>
      <c r="V76" s="2"/>
      <c r="W76" s="2"/>
      <c r="X76" s="2"/>
      <c r="Y76" s="2"/>
      <c r="Z76" s="2"/>
    </row>
    <row r="77">
      <c r="A77" s="5" t="str">
        <f>IFERROR(__xludf.DUMMYFUNCTION("LEFT(A76, 4) &amp; TEXT(VALUE(REGEXEXTRACT(A76, ""\d+"")) + 1, ""0000"")"),"PSI-0075")</f>
        <v>PSI-0075</v>
      </c>
      <c r="B77" s="3" t="s">
        <v>704</v>
      </c>
      <c r="C77" s="3" t="s">
        <v>762</v>
      </c>
      <c r="D77" s="2" t="str">
        <f t="shared" si="1"/>
        <v>FASCINAR | M</v>
      </c>
      <c r="E77" s="3" t="s">
        <v>48</v>
      </c>
      <c r="F77" s="3" t="s">
        <v>21</v>
      </c>
      <c r="G77" s="3" t="s">
        <v>77</v>
      </c>
      <c r="H77" s="3" t="s">
        <v>725</v>
      </c>
      <c r="I77" s="3">
        <v>4.0</v>
      </c>
      <c r="J77" s="3" t="s">
        <v>50</v>
      </c>
      <c r="K77" s="3" t="s">
        <v>95</v>
      </c>
      <c r="L77" s="6" t="s">
        <v>65</v>
      </c>
      <c r="M77" s="3" t="s">
        <v>124</v>
      </c>
      <c r="N77" s="3" t="s">
        <v>343</v>
      </c>
      <c r="O77" s="3" t="s">
        <v>344</v>
      </c>
      <c r="P77" s="3" t="s">
        <v>763</v>
      </c>
      <c r="Q77" s="3" t="s">
        <v>764</v>
      </c>
      <c r="R77" s="2"/>
      <c r="S77" s="2"/>
      <c r="T77" s="2"/>
      <c r="U77" s="2"/>
      <c r="V77" s="2"/>
      <c r="W77" s="2"/>
      <c r="X77" s="2"/>
      <c r="Y77" s="2"/>
      <c r="Z77" s="2"/>
    </row>
    <row r="78">
      <c r="A78" s="5" t="str">
        <f>IFERROR(__xludf.DUMMYFUNCTION("LEFT(A77, 4) &amp; TEXT(VALUE(REGEXEXTRACT(A77, ""\d+"")) + 1, ""0000"")"),"PSI-0076")</f>
        <v>PSI-0076</v>
      </c>
      <c r="B78" s="3" t="s">
        <v>704</v>
      </c>
      <c r="C78" s="3" t="s">
        <v>762</v>
      </c>
      <c r="D78" s="2" t="str">
        <f t="shared" si="1"/>
        <v>FASCINAR | M</v>
      </c>
      <c r="E78" s="3" t="s">
        <v>48</v>
      </c>
      <c r="F78" s="3" t="s">
        <v>27</v>
      </c>
      <c r="G78" s="3" t="s">
        <v>77</v>
      </c>
      <c r="H78" s="3" t="s">
        <v>725</v>
      </c>
      <c r="I78" s="3">
        <v>4.0</v>
      </c>
      <c r="J78" s="3" t="s">
        <v>50</v>
      </c>
      <c r="K78" s="3" t="s">
        <v>95</v>
      </c>
      <c r="L78" s="6" t="s">
        <v>35</v>
      </c>
      <c r="M78" s="3" t="s">
        <v>124</v>
      </c>
      <c r="N78" s="3" t="s">
        <v>343</v>
      </c>
      <c r="O78" s="3" t="s">
        <v>344</v>
      </c>
      <c r="P78" s="3" t="s">
        <v>763</v>
      </c>
      <c r="Q78" s="3" t="s">
        <v>764</v>
      </c>
      <c r="R78" s="2"/>
      <c r="S78" s="2"/>
      <c r="T78" s="2"/>
      <c r="U78" s="2"/>
      <c r="V78" s="2"/>
      <c r="W78" s="2"/>
      <c r="X78" s="2"/>
      <c r="Y78" s="2"/>
      <c r="Z78" s="2"/>
    </row>
    <row r="79">
      <c r="A79" s="5" t="str">
        <f>IFERROR(__xludf.DUMMYFUNCTION("LEFT(A78, 4) &amp; TEXT(VALUE(REGEXEXTRACT(A78, ""\d+"")) + 1, ""0000"")"),"PSI-0077")</f>
        <v>PSI-0077</v>
      </c>
      <c r="B79" s="3" t="s">
        <v>704</v>
      </c>
      <c r="C79" s="3" t="s">
        <v>762</v>
      </c>
      <c r="D79" s="2" t="str">
        <f t="shared" si="1"/>
        <v>FASCINAR | M</v>
      </c>
      <c r="E79" s="3" t="s">
        <v>48</v>
      </c>
      <c r="F79" s="3" t="s">
        <v>28</v>
      </c>
      <c r="G79" s="3" t="s">
        <v>77</v>
      </c>
      <c r="H79" s="3" t="s">
        <v>725</v>
      </c>
      <c r="I79" s="3">
        <v>4.0</v>
      </c>
      <c r="J79" s="3" t="s">
        <v>50</v>
      </c>
      <c r="K79" s="3" t="s">
        <v>95</v>
      </c>
      <c r="L79" s="6" t="s">
        <v>70</v>
      </c>
      <c r="M79" s="3" t="s">
        <v>124</v>
      </c>
      <c r="N79" s="3" t="s">
        <v>348</v>
      </c>
      <c r="O79" s="3" t="s">
        <v>344</v>
      </c>
      <c r="P79" s="3" t="s">
        <v>763</v>
      </c>
      <c r="Q79" s="3" t="s">
        <v>765</v>
      </c>
      <c r="R79" s="2"/>
      <c r="S79" s="2"/>
      <c r="T79" s="2"/>
      <c r="U79" s="2"/>
      <c r="V79" s="2"/>
      <c r="W79" s="2"/>
      <c r="X79" s="2"/>
      <c r="Y79" s="2"/>
      <c r="Z79" s="2"/>
    </row>
    <row r="80">
      <c r="A80" s="5" t="str">
        <f>IFERROR(__xludf.DUMMYFUNCTION("LEFT(A79, 4) &amp; TEXT(VALUE(REGEXEXTRACT(A79, ""\d+"")) + 1, ""0000"")"),"PSI-0078")</f>
        <v>PSI-0078</v>
      </c>
      <c r="B80" s="3" t="s">
        <v>704</v>
      </c>
      <c r="C80" s="3" t="s">
        <v>762</v>
      </c>
      <c r="D80" s="2" t="str">
        <f t="shared" si="1"/>
        <v>FASCINAR | M</v>
      </c>
      <c r="E80" s="3" t="s">
        <v>48</v>
      </c>
      <c r="F80" s="3" t="s">
        <v>29</v>
      </c>
      <c r="G80" s="3" t="s">
        <v>77</v>
      </c>
      <c r="H80" s="3" t="s">
        <v>725</v>
      </c>
      <c r="I80" s="3">
        <v>4.0</v>
      </c>
      <c r="J80" s="3" t="s">
        <v>50</v>
      </c>
      <c r="K80" s="3" t="s">
        <v>95</v>
      </c>
      <c r="L80" s="6" t="s">
        <v>72</v>
      </c>
      <c r="M80" s="3" t="s">
        <v>124</v>
      </c>
      <c r="N80" s="3" t="s">
        <v>351</v>
      </c>
      <c r="O80" s="3" t="s">
        <v>344</v>
      </c>
      <c r="P80" s="3" t="s">
        <v>763</v>
      </c>
      <c r="Q80" s="3" t="s">
        <v>765</v>
      </c>
      <c r="R80" s="2"/>
      <c r="S80" s="2"/>
      <c r="T80" s="2"/>
      <c r="U80" s="2"/>
      <c r="V80" s="2"/>
      <c r="W80" s="2"/>
      <c r="X80" s="2"/>
      <c r="Y80" s="2"/>
      <c r="Z80" s="2"/>
    </row>
    <row r="81">
      <c r="A81" s="5" t="str">
        <f>IFERROR(__xludf.DUMMYFUNCTION("LEFT(A80, 4) &amp; TEXT(VALUE(REGEXEXTRACT(A80, ""\d+"")) + 1, ""0000"")"),"PSI-0079")</f>
        <v>PSI-0079</v>
      </c>
      <c r="B81" s="3" t="s">
        <v>704</v>
      </c>
      <c r="C81" s="3" t="s">
        <v>762</v>
      </c>
      <c r="D81" s="2" t="str">
        <f t="shared" si="1"/>
        <v>FASCINAR | M</v>
      </c>
      <c r="E81" s="3" t="s">
        <v>48</v>
      </c>
      <c r="F81" s="3" t="s">
        <v>30</v>
      </c>
      <c r="G81" s="3" t="s">
        <v>77</v>
      </c>
      <c r="H81" s="3" t="s">
        <v>725</v>
      </c>
      <c r="I81" s="3">
        <v>4.0</v>
      </c>
      <c r="J81" s="3" t="s">
        <v>23</v>
      </c>
      <c r="K81" s="3" t="s">
        <v>95</v>
      </c>
      <c r="L81" s="6" t="s">
        <v>39</v>
      </c>
      <c r="M81" s="3" t="s">
        <v>124</v>
      </c>
      <c r="N81" s="3" t="s">
        <v>353</v>
      </c>
      <c r="O81" s="3" t="s">
        <v>344</v>
      </c>
      <c r="P81" s="3" t="s">
        <v>763</v>
      </c>
      <c r="Q81" s="3" t="s">
        <v>765</v>
      </c>
      <c r="R81" s="2"/>
      <c r="S81" s="2"/>
      <c r="T81" s="2"/>
      <c r="U81" s="2"/>
      <c r="V81" s="2"/>
      <c r="W81" s="2"/>
      <c r="X81" s="2"/>
      <c r="Y81" s="2"/>
      <c r="Z81" s="2"/>
    </row>
    <row r="82">
      <c r="A82" s="5" t="str">
        <f>IFERROR(__xludf.DUMMYFUNCTION("LEFT(A81, 4) &amp; TEXT(VALUE(REGEXEXTRACT(A81, ""\d+"")) + 1, ""0000"")"),"PSI-0080")</f>
        <v>PSI-0080</v>
      </c>
      <c r="B82" s="3" t="s">
        <v>704</v>
      </c>
      <c r="C82" s="3" t="s">
        <v>766</v>
      </c>
      <c r="D82" s="2" t="str">
        <f t="shared" si="1"/>
        <v>ENCANTAR | D</v>
      </c>
      <c r="E82" s="3" t="s">
        <v>76</v>
      </c>
      <c r="F82" s="3" t="s">
        <v>21</v>
      </c>
      <c r="G82" s="3" t="s">
        <v>77</v>
      </c>
      <c r="H82" s="3" t="s">
        <v>767</v>
      </c>
      <c r="I82" s="3">
        <v>8.0</v>
      </c>
      <c r="J82" s="3" t="s">
        <v>23</v>
      </c>
      <c r="K82" s="3" t="s">
        <v>34</v>
      </c>
      <c r="L82" s="6" t="s">
        <v>65</v>
      </c>
      <c r="M82" s="3" t="s">
        <v>124</v>
      </c>
      <c r="N82" s="3" t="s">
        <v>726</v>
      </c>
      <c r="O82" s="3" t="s">
        <v>52</v>
      </c>
      <c r="P82" s="3" t="s">
        <v>768</v>
      </c>
      <c r="Q82" s="3" t="s">
        <v>769</v>
      </c>
      <c r="R82" s="2"/>
      <c r="S82" s="2"/>
      <c r="T82" s="2"/>
      <c r="U82" s="2"/>
      <c r="V82" s="2"/>
      <c r="W82" s="2"/>
      <c r="X82" s="2"/>
      <c r="Y82" s="2"/>
      <c r="Z82" s="2"/>
    </row>
    <row r="83">
      <c r="A83" s="5" t="str">
        <f>IFERROR(__xludf.DUMMYFUNCTION("LEFT(A82, 4) &amp; TEXT(VALUE(REGEXEXTRACT(A82, ""\d+"")) + 1, ""0000"")"),"PSI-0081")</f>
        <v>PSI-0081</v>
      </c>
      <c r="B83" s="3" t="s">
        <v>704</v>
      </c>
      <c r="C83" s="3" t="s">
        <v>766</v>
      </c>
      <c r="D83" s="2" t="str">
        <f t="shared" si="1"/>
        <v>ENCANTAR | D</v>
      </c>
      <c r="E83" s="3" t="s">
        <v>76</v>
      </c>
      <c r="F83" s="3" t="s">
        <v>27</v>
      </c>
      <c r="G83" s="3" t="s">
        <v>77</v>
      </c>
      <c r="H83" s="3" t="s">
        <v>767</v>
      </c>
      <c r="I83" s="3">
        <v>8.0</v>
      </c>
      <c r="J83" s="3" t="s">
        <v>23</v>
      </c>
      <c r="K83" s="3" t="s">
        <v>34</v>
      </c>
      <c r="L83" s="6" t="s">
        <v>35</v>
      </c>
      <c r="M83" s="3" t="s">
        <v>124</v>
      </c>
      <c r="N83" s="3" t="s">
        <v>729</v>
      </c>
      <c r="O83" s="3" t="s">
        <v>52</v>
      </c>
      <c r="P83" s="3" t="s">
        <v>768</v>
      </c>
      <c r="Q83" s="3" t="s">
        <v>769</v>
      </c>
      <c r="R83" s="2"/>
      <c r="S83" s="2"/>
      <c r="T83" s="2"/>
      <c r="U83" s="2"/>
      <c r="V83" s="2"/>
      <c r="W83" s="2"/>
      <c r="X83" s="2"/>
      <c r="Y83" s="2"/>
      <c r="Z83" s="2"/>
    </row>
    <row r="84">
      <c r="A84" s="5" t="str">
        <f>IFERROR(__xludf.DUMMYFUNCTION("LEFT(A83, 4) &amp; TEXT(VALUE(REGEXEXTRACT(A83, ""\d+"")) + 1, ""0000"")"),"PSI-0082")</f>
        <v>PSI-0082</v>
      </c>
      <c r="B84" s="3" t="s">
        <v>704</v>
      </c>
      <c r="C84" s="3" t="s">
        <v>766</v>
      </c>
      <c r="D84" s="2" t="str">
        <f t="shared" si="1"/>
        <v>ENCANTAR | D</v>
      </c>
      <c r="E84" s="3" t="s">
        <v>76</v>
      </c>
      <c r="F84" s="3" t="s">
        <v>28</v>
      </c>
      <c r="G84" s="3" t="s">
        <v>77</v>
      </c>
      <c r="H84" s="3" t="s">
        <v>767</v>
      </c>
      <c r="I84" s="3">
        <v>8.0</v>
      </c>
      <c r="J84" s="3" t="s">
        <v>23</v>
      </c>
      <c r="K84" s="3" t="s">
        <v>34</v>
      </c>
      <c r="L84" s="6" t="s">
        <v>70</v>
      </c>
      <c r="M84" s="3" t="s">
        <v>124</v>
      </c>
      <c r="N84" s="3" t="s">
        <v>730</v>
      </c>
      <c r="O84" s="3" t="s">
        <v>52</v>
      </c>
      <c r="P84" s="3" t="s">
        <v>768</v>
      </c>
      <c r="Q84" s="3" t="s">
        <v>769</v>
      </c>
      <c r="R84" s="2"/>
      <c r="S84" s="2"/>
      <c r="T84" s="2"/>
      <c r="U84" s="2"/>
      <c r="V84" s="2"/>
      <c r="W84" s="2"/>
      <c r="X84" s="2"/>
      <c r="Y84" s="2"/>
      <c r="Z84" s="2"/>
    </row>
    <row r="85">
      <c r="A85" s="5" t="str">
        <f>IFERROR(__xludf.DUMMYFUNCTION("LEFT(A84, 4) &amp; TEXT(VALUE(REGEXEXTRACT(A84, ""\d+"")) + 1, ""0000"")"),"PSI-0083")</f>
        <v>PSI-0083</v>
      </c>
      <c r="B85" s="3" t="s">
        <v>704</v>
      </c>
      <c r="C85" s="3" t="s">
        <v>766</v>
      </c>
      <c r="D85" s="2" t="str">
        <f t="shared" si="1"/>
        <v>ENCANTAR | D</v>
      </c>
      <c r="E85" s="3" t="s">
        <v>76</v>
      </c>
      <c r="F85" s="3" t="s">
        <v>29</v>
      </c>
      <c r="G85" s="3" t="s">
        <v>77</v>
      </c>
      <c r="H85" s="3" t="s">
        <v>767</v>
      </c>
      <c r="I85" s="3">
        <v>8.0</v>
      </c>
      <c r="J85" s="3" t="s">
        <v>23</v>
      </c>
      <c r="K85" s="3" t="s">
        <v>34</v>
      </c>
      <c r="L85" s="6" t="s">
        <v>72</v>
      </c>
      <c r="M85" s="3" t="s">
        <v>124</v>
      </c>
      <c r="N85" s="3" t="s">
        <v>731</v>
      </c>
      <c r="O85" s="3" t="s">
        <v>52</v>
      </c>
      <c r="P85" s="3" t="s">
        <v>768</v>
      </c>
      <c r="Q85" s="3" t="s">
        <v>769</v>
      </c>
      <c r="R85" s="2"/>
      <c r="S85" s="2"/>
      <c r="T85" s="2"/>
      <c r="U85" s="2"/>
      <c r="V85" s="2"/>
      <c r="W85" s="2"/>
      <c r="X85" s="2"/>
      <c r="Y85" s="2"/>
      <c r="Z85" s="2"/>
    </row>
    <row r="86">
      <c r="A86" s="5" t="str">
        <f>IFERROR(__xludf.DUMMYFUNCTION("LEFT(A85, 4) &amp; TEXT(VALUE(REGEXEXTRACT(A85, ""\d+"")) + 1, ""0000"")"),"PSI-0084")</f>
        <v>PSI-0084</v>
      </c>
      <c r="B86" s="3" t="s">
        <v>704</v>
      </c>
      <c r="C86" s="3" t="s">
        <v>766</v>
      </c>
      <c r="D86" s="2" t="str">
        <f t="shared" si="1"/>
        <v>ENCANTAR | D</v>
      </c>
      <c r="E86" s="3" t="s">
        <v>76</v>
      </c>
      <c r="F86" s="3" t="s">
        <v>30</v>
      </c>
      <c r="G86" s="3" t="s">
        <v>77</v>
      </c>
      <c r="H86" s="3" t="s">
        <v>767</v>
      </c>
      <c r="I86" s="3">
        <v>8.0</v>
      </c>
      <c r="J86" s="3" t="s">
        <v>23</v>
      </c>
      <c r="K86" s="3" t="s">
        <v>34</v>
      </c>
      <c r="L86" s="6" t="s">
        <v>39</v>
      </c>
      <c r="M86" s="3" t="s">
        <v>124</v>
      </c>
      <c r="N86" s="3" t="s">
        <v>51</v>
      </c>
      <c r="O86" s="3" t="s">
        <v>52</v>
      </c>
      <c r="P86" s="3" t="s">
        <v>768</v>
      </c>
      <c r="Q86" s="3" t="s">
        <v>769</v>
      </c>
      <c r="R86" s="2"/>
      <c r="S86" s="2"/>
      <c r="T86" s="2"/>
      <c r="U86" s="2"/>
      <c r="V86" s="2"/>
      <c r="W86" s="2"/>
      <c r="X86" s="2"/>
      <c r="Y86" s="2"/>
      <c r="Z86" s="2"/>
    </row>
    <row r="87">
      <c r="A87" s="5" t="str">
        <f>IFERROR(__xludf.DUMMYFUNCTION("LEFT(A86, 4) &amp; TEXT(VALUE(REGEXEXTRACT(A86, ""\d+"")) + 1, ""0000"")"),"PSI-0085")</f>
        <v>PSI-0085</v>
      </c>
      <c r="B87" s="3" t="s">
        <v>704</v>
      </c>
      <c r="C87" s="4" t="s">
        <v>770</v>
      </c>
      <c r="D87" s="2" t="str">
        <f t="shared" si="1"/>
        <v>ÊXTASE | D</v>
      </c>
      <c r="E87" s="3" t="s">
        <v>76</v>
      </c>
      <c r="F87" s="3" t="s">
        <v>21</v>
      </c>
      <c r="G87" s="3" t="s">
        <v>77</v>
      </c>
      <c r="H87" s="3" t="s">
        <v>725</v>
      </c>
      <c r="I87" s="3">
        <v>8.0</v>
      </c>
      <c r="J87" s="3" t="s">
        <v>131</v>
      </c>
      <c r="K87" s="3" t="s">
        <v>95</v>
      </c>
      <c r="L87" s="6" t="s">
        <v>65</v>
      </c>
      <c r="M87" s="3" t="s">
        <v>124</v>
      </c>
      <c r="N87" s="3" t="s">
        <v>629</v>
      </c>
      <c r="O87" s="3" t="s">
        <v>55</v>
      </c>
      <c r="P87" s="3" t="s">
        <v>771</v>
      </c>
      <c r="Q87" s="3" t="s">
        <v>772</v>
      </c>
      <c r="R87" s="2"/>
      <c r="S87" s="2"/>
      <c r="T87" s="2"/>
      <c r="U87" s="2"/>
      <c r="V87" s="2"/>
      <c r="W87" s="2"/>
      <c r="X87" s="2"/>
      <c r="Y87" s="2"/>
      <c r="Z87" s="2"/>
    </row>
    <row r="88">
      <c r="A88" s="5" t="str">
        <f>IFERROR(__xludf.DUMMYFUNCTION("LEFT(A87, 4) &amp; TEXT(VALUE(REGEXEXTRACT(A87, ""\d+"")) + 1, ""0000"")"),"PSI-0086")</f>
        <v>PSI-0086</v>
      </c>
      <c r="B88" s="3" t="s">
        <v>704</v>
      </c>
      <c r="C88" s="4" t="s">
        <v>770</v>
      </c>
      <c r="D88" s="2" t="str">
        <f t="shared" si="1"/>
        <v>ÊXTASE | D</v>
      </c>
      <c r="E88" s="3" t="s">
        <v>76</v>
      </c>
      <c r="F88" s="3" t="s">
        <v>27</v>
      </c>
      <c r="G88" s="3" t="s">
        <v>77</v>
      </c>
      <c r="H88" s="3" t="s">
        <v>725</v>
      </c>
      <c r="I88" s="3">
        <v>8.0</v>
      </c>
      <c r="J88" s="3" t="s">
        <v>131</v>
      </c>
      <c r="K88" s="3" t="s">
        <v>95</v>
      </c>
      <c r="L88" s="6" t="s">
        <v>35</v>
      </c>
      <c r="M88" s="3" t="s">
        <v>124</v>
      </c>
      <c r="N88" s="3" t="s">
        <v>631</v>
      </c>
      <c r="O88" s="3" t="s">
        <v>57</v>
      </c>
      <c r="P88" s="3" t="s">
        <v>771</v>
      </c>
      <c r="Q88" s="3" t="s">
        <v>772</v>
      </c>
      <c r="R88" s="2"/>
      <c r="S88" s="2"/>
      <c r="T88" s="2"/>
      <c r="U88" s="2"/>
      <c r="V88" s="2"/>
      <c r="W88" s="2"/>
      <c r="X88" s="2"/>
      <c r="Y88" s="2"/>
      <c r="Z88" s="2"/>
    </row>
    <row r="89">
      <c r="A89" s="5" t="str">
        <f>IFERROR(__xludf.DUMMYFUNCTION("LEFT(A88, 4) &amp; TEXT(VALUE(REGEXEXTRACT(A88, ""\d+"")) + 1, ""0000"")"),"PSI-0087")</f>
        <v>PSI-0087</v>
      </c>
      <c r="B89" s="3" t="s">
        <v>704</v>
      </c>
      <c r="C89" s="4" t="s">
        <v>770</v>
      </c>
      <c r="D89" s="2" t="str">
        <f t="shared" si="1"/>
        <v>ÊXTASE | D</v>
      </c>
      <c r="E89" s="3" t="s">
        <v>76</v>
      </c>
      <c r="F89" s="3" t="s">
        <v>28</v>
      </c>
      <c r="G89" s="3" t="s">
        <v>77</v>
      </c>
      <c r="H89" s="3" t="s">
        <v>725</v>
      </c>
      <c r="I89" s="3">
        <v>8.0</v>
      </c>
      <c r="J89" s="3" t="s">
        <v>126</v>
      </c>
      <c r="K89" s="3" t="s">
        <v>95</v>
      </c>
      <c r="L89" s="6" t="s">
        <v>70</v>
      </c>
      <c r="M89" s="3" t="s">
        <v>124</v>
      </c>
      <c r="N89" s="3" t="s">
        <v>632</v>
      </c>
      <c r="O89" s="3" t="s">
        <v>633</v>
      </c>
      <c r="P89" s="3" t="s">
        <v>771</v>
      </c>
      <c r="Q89" s="3" t="s">
        <v>772</v>
      </c>
      <c r="R89" s="2"/>
      <c r="S89" s="2"/>
      <c r="T89" s="2"/>
      <c r="U89" s="2"/>
      <c r="V89" s="2"/>
      <c r="W89" s="2"/>
      <c r="X89" s="2"/>
      <c r="Y89" s="2"/>
      <c r="Z89" s="2"/>
    </row>
    <row r="90">
      <c r="A90" s="5" t="str">
        <f>IFERROR(__xludf.DUMMYFUNCTION("LEFT(A89, 4) &amp; TEXT(VALUE(REGEXEXTRACT(A89, ""\d+"")) + 1, ""0000"")"),"PSI-0088")</f>
        <v>PSI-0088</v>
      </c>
      <c r="B90" s="3" t="s">
        <v>704</v>
      </c>
      <c r="C90" s="4" t="s">
        <v>770</v>
      </c>
      <c r="D90" s="2" t="str">
        <f t="shared" si="1"/>
        <v>ÊXTASE | D</v>
      </c>
      <c r="E90" s="3" t="s">
        <v>76</v>
      </c>
      <c r="F90" s="3" t="s">
        <v>29</v>
      </c>
      <c r="G90" s="3" t="s">
        <v>77</v>
      </c>
      <c r="H90" s="3" t="s">
        <v>725</v>
      </c>
      <c r="I90" s="3">
        <v>8.0</v>
      </c>
      <c r="J90" s="3" t="s">
        <v>126</v>
      </c>
      <c r="K90" s="3" t="s">
        <v>95</v>
      </c>
      <c r="L90" s="6" t="s">
        <v>72</v>
      </c>
      <c r="M90" s="3" t="s">
        <v>124</v>
      </c>
      <c r="N90" s="3" t="s">
        <v>634</v>
      </c>
      <c r="O90" s="3" t="s">
        <v>635</v>
      </c>
      <c r="P90" s="3" t="s">
        <v>771</v>
      </c>
      <c r="Q90" s="3" t="s">
        <v>772</v>
      </c>
      <c r="R90" s="2"/>
      <c r="S90" s="2"/>
      <c r="T90" s="2"/>
      <c r="U90" s="2"/>
      <c r="V90" s="2"/>
      <c r="W90" s="2"/>
      <c r="X90" s="2"/>
      <c r="Y90" s="2"/>
      <c r="Z90" s="2"/>
    </row>
    <row r="91">
      <c r="A91" s="5" t="str">
        <f>IFERROR(__xludf.DUMMYFUNCTION("LEFT(A90, 4) &amp; TEXT(VALUE(REGEXEXTRACT(A90, ""\d+"")) + 1, ""0000"")"),"PSI-0089")</f>
        <v>PSI-0089</v>
      </c>
      <c r="B91" s="3" t="s">
        <v>704</v>
      </c>
      <c r="C91" s="4" t="s">
        <v>770</v>
      </c>
      <c r="D91" s="2" t="str">
        <f t="shared" si="1"/>
        <v>ÊXTASE | D</v>
      </c>
      <c r="E91" s="3" t="s">
        <v>76</v>
      </c>
      <c r="F91" s="3" t="s">
        <v>30</v>
      </c>
      <c r="G91" s="3" t="s">
        <v>77</v>
      </c>
      <c r="H91" s="3" t="s">
        <v>725</v>
      </c>
      <c r="I91" s="3">
        <v>8.0</v>
      </c>
      <c r="J91" s="3" t="s">
        <v>50</v>
      </c>
      <c r="K91" s="3" t="s">
        <v>95</v>
      </c>
      <c r="L91" s="6" t="s">
        <v>39</v>
      </c>
      <c r="M91" s="3" t="s">
        <v>124</v>
      </c>
      <c r="N91" s="3" t="s">
        <v>636</v>
      </c>
      <c r="O91" s="3" t="s">
        <v>59</v>
      </c>
      <c r="P91" s="3" t="s">
        <v>771</v>
      </c>
      <c r="Q91" s="3" t="s">
        <v>772</v>
      </c>
      <c r="R91" s="2"/>
      <c r="S91" s="2"/>
      <c r="T91" s="2"/>
      <c r="U91" s="2"/>
      <c r="V91" s="2"/>
      <c r="W91" s="2"/>
      <c r="X91" s="2"/>
      <c r="Y91" s="2"/>
      <c r="Z91" s="2"/>
    </row>
    <row r="92">
      <c r="A92" s="5" t="str">
        <f>IFERROR(__xludf.DUMMYFUNCTION("LEFT(A91, 4) &amp; TEXT(VALUE(REGEXEXTRACT(A91, ""\d+"")) + 1, ""0000"")"),"PSI-0090")</f>
        <v>PSI-0090</v>
      </c>
      <c r="B92" s="3" t="s">
        <v>704</v>
      </c>
      <c r="C92" s="4" t="s">
        <v>773</v>
      </c>
      <c r="D92" s="2" t="str">
        <f t="shared" si="1"/>
        <v>ENLOUQUECER | D</v>
      </c>
      <c r="E92" s="3" t="s">
        <v>76</v>
      </c>
      <c r="F92" s="3" t="s">
        <v>21</v>
      </c>
      <c r="G92" s="3" t="s">
        <v>77</v>
      </c>
      <c r="H92" s="3" t="s">
        <v>725</v>
      </c>
      <c r="I92" s="3">
        <v>8.0</v>
      </c>
      <c r="J92" s="3" t="s">
        <v>131</v>
      </c>
      <c r="K92" s="3" t="s">
        <v>95</v>
      </c>
      <c r="L92" s="6" t="s">
        <v>65</v>
      </c>
      <c r="M92" s="3" t="s">
        <v>124</v>
      </c>
      <c r="N92" s="3" t="s">
        <v>629</v>
      </c>
      <c r="O92" s="3" t="s">
        <v>55</v>
      </c>
      <c r="P92" s="3" t="s">
        <v>774</v>
      </c>
      <c r="Q92" s="2"/>
      <c r="R92" s="2"/>
      <c r="S92" s="2"/>
      <c r="T92" s="2"/>
      <c r="U92" s="2"/>
      <c r="V92" s="2"/>
      <c r="W92" s="2"/>
      <c r="X92" s="2"/>
      <c r="Y92" s="2"/>
      <c r="Z92" s="2"/>
    </row>
    <row r="93">
      <c r="A93" s="5" t="str">
        <f>IFERROR(__xludf.DUMMYFUNCTION("LEFT(A92, 4) &amp; TEXT(VALUE(REGEXEXTRACT(A92, ""\d+"")) + 1, ""0000"")"),"PSI-0091")</f>
        <v>PSI-0091</v>
      </c>
      <c r="B93" s="3" t="s">
        <v>704</v>
      </c>
      <c r="C93" s="4" t="s">
        <v>773</v>
      </c>
      <c r="D93" s="2" t="str">
        <f t="shared" si="1"/>
        <v>ENLOUQUECER | D</v>
      </c>
      <c r="E93" s="3" t="s">
        <v>76</v>
      </c>
      <c r="F93" s="3" t="s">
        <v>27</v>
      </c>
      <c r="G93" s="3" t="s">
        <v>77</v>
      </c>
      <c r="H93" s="3" t="s">
        <v>725</v>
      </c>
      <c r="I93" s="3">
        <v>8.0</v>
      </c>
      <c r="J93" s="3" t="s">
        <v>131</v>
      </c>
      <c r="K93" s="3" t="s">
        <v>95</v>
      </c>
      <c r="L93" s="6" t="s">
        <v>35</v>
      </c>
      <c r="M93" s="3" t="s">
        <v>124</v>
      </c>
      <c r="N93" s="3" t="s">
        <v>631</v>
      </c>
      <c r="O93" s="3" t="s">
        <v>57</v>
      </c>
      <c r="P93" s="3" t="s">
        <v>774</v>
      </c>
      <c r="Q93" s="2"/>
      <c r="R93" s="2"/>
      <c r="S93" s="2"/>
      <c r="T93" s="2"/>
      <c r="U93" s="2"/>
      <c r="V93" s="2"/>
      <c r="W93" s="2"/>
      <c r="X93" s="2"/>
      <c r="Y93" s="2"/>
      <c r="Z93" s="2"/>
    </row>
    <row r="94">
      <c r="A94" s="5" t="str">
        <f>IFERROR(__xludf.DUMMYFUNCTION("LEFT(A93, 4) &amp; TEXT(VALUE(REGEXEXTRACT(A93, ""\d+"")) + 1, ""0000"")"),"PSI-0092")</f>
        <v>PSI-0092</v>
      </c>
      <c r="B94" s="3" t="s">
        <v>704</v>
      </c>
      <c r="C94" s="4" t="s">
        <v>773</v>
      </c>
      <c r="D94" s="2" t="str">
        <f t="shared" si="1"/>
        <v>ENLOUQUECER | D</v>
      </c>
      <c r="E94" s="3" t="s">
        <v>76</v>
      </c>
      <c r="F94" s="3" t="s">
        <v>28</v>
      </c>
      <c r="G94" s="3" t="s">
        <v>77</v>
      </c>
      <c r="H94" s="3" t="s">
        <v>725</v>
      </c>
      <c r="I94" s="3">
        <v>8.0</v>
      </c>
      <c r="J94" s="3" t="s">
        <v>126</v>
      </c>
      <c r="K94" s="3" t="s">
        <v>95</v>
      </c>
      <c r="L94" s="6" t="s">
        <v>70</v>
      </c>
      <c r="M94" s="3" t="s">
        <v>124</v>
      </c>
      <c r="N94" s="3" t="s">
        <v>632</v>
      </c>
      <c r="O94" s="3" t="s">
        <v>633</v>
      </c>
      <c r="P94" s="3" t="s">
        <v>774</v>
      </c>
      <c r="Q94" s="2"/>
      <c r="R94" s="2"/>
      <c r="S94" s="2"/>
      <c r="T94" s="2"/>
      <c r="U94" s="2"/>
      <c r="V94" s="2"/>
      <c r="W94" s="2"/>
      <c r="X94" s="2"/>
      <c r="Y94" s="2"/>
      <c r="Z94" s="2"/>
    </row>
    <row r="95">
      <c r="A95" s="5" t="str">
        <f>IFERROR(__xludf.DUMMYFUNCTION("LEFT(A94, 4) &amp; TEXT(VALUE(REGEXEXTRACT(A94, ""\d+"")) + 1, ""0000"")"),"PSI-0093")</f>
        <v>PSI-0093</v>
      </c>
      <c r="B95" s="3" t="s">
        <v>704</v>
      </c>
      <c r="C95" s="4" t="s">
        <v>773</v>
      </c>
      <c r="D95" s="2" t="str">
        <f t="shared" si="1"/>
        <v>ENLOUQUECER | D</v>
      </c>
      <c r="E95" s="3" t="s">
        <v>76</v>
      </c>
      <c r="F95" s="3" t="s">
        <v>29</v>
      </c>
      <c r="G95" s="3" t="s">
        <v>77</v>
      </c>
      <c r="H95" s="3" t="s">
        <v>725</v>
      </c>
      <c r="I95" s="3">
        <v>8.0</v>
      </c>
      <c r="J95" s="3" t="s">
        <v>126</v>
      </c>
      <c r="K95" s="3" t="s">
        <v>95</v>
      </c>
      <c r="L95" s="6" t="s">
        <v>72</v>
      </c>
      <c r="M95" s="3" t="s">
        <v>124</v>
      </c>
      <c r="N95" s="3" t="s">
        <v>634</v>
      </c>
      <c r="O95" s="3" t="s">
        <v>635</v>
      </c>
      <c r="P95" s="3" t="s">
        <v>774</v>
      </c>
      <c r="Q95" s="2"/>
      <c r="R95" s="2"/>
      <c r="S95" s="2"/>
      <c r="T95" s="2"/>
      <c r="U95" s="2"/>
      <c r="V95" s="2"/>
      <c r="W95" s="2"/>
      <c r="X95" s="2"/>
      <c r="Y95" s="2"/>
      <c r="Z95" s="2"/>
    </row>
    <row r="96">
      <c r="A96" s="5" t="str">
        <f>IFERROR(__xludf.DUMMYFUNCTION("LEFT(A95, 4) &amp; TEXT(VALUE(REGEXEXTRACT(A95, ""\d+"")) + 1, ""0000"")"),"PSI-0094")</f>
        <v>PSI-0094</v>
      </c>
      <c r="B96" s="3" t="s">
        <v>704</v>
      </c>
      <c r="C96" s="4" t="s">
        <v>773</v>
      </c>
      <c r="D96" s="2" t="str">
        <f t="shared" si="1"/>
        <v>ENLOUQUECER | D</v>
      </c>
      <c r="E96" s="3" t="s">
        <v>76</v>
      </c>
      <c r="F96" s="3" t="s">
        <v>30</v>
      </c>
      <c r="G96" s="3" t="s">
        <v>77</v>
      </c>
      <c r="H96" s="3" t="s">
        <v>725</v>
      </c>
      <c r="I96" s="3">
        <v>8.0</v>
      </c>
      <c r="J96" s="3" t="s">
        <v>50</v>
      </c>
      <c r="K96" s="3" t="s">
        <v>95</v>
      </c>
      <c r="L96" s="6" t="s">
        <v>39</v>
      </c>
      <c r="M96" s="3" t="s">
        <v>124</v>
      </c>
      <c r="N96" s="3" t="s">
        <v>636</v>
      </c>
      <c r="O96" s="3" t="s">
        <v>59</v>
      </c>
      <c r="P96" s="3" t="s">
        <v>774</v>
      </c>
      <c r="Q96" s="2"/>
      <c r="R96" s="2"/>
      <c r="S96" s="2"/>
      <c r="T96" s="2"/>
      <c r="U96" s="2"/>
      <c r="V96" s="2"/>
      <c r="W96" s="2"/>
      <c r="X96" s="2"/>
      <c r="Y96" s="2"/>
      <c r="Z96" s="2"/>
    </row>
    <row r="97">
      <c r="A97" s="5" t="str">
        <f>IFERROR(__xludf.DUMMYFUNCTION("LEFT(A96, 4) &amp; TEXT(VALUE(REGEXEXTRACT(A96, ""\d+"")) + 1, ""0000"")"),"PSI-0095")</f>
        <v>PSI-0095</v>
      </c>
      <c r="B97" s="3" t="s">
        <v>704</v>
      </c>
      <c r="C97" s="4" t="s">
        <v>775</v>
      </c>
      <c r="D97" s="2" t="str">
        <f t="shared" si="1"/>
        <v>ENLOUQUECER PERMANENTEMENTE | MD</v>
      </c>
      <c r="E97" s="3" t="s">
        <v>94</v>
      </c>
      <c r="F97" s="3" t="s">
        <v>21</v>
      </c>
      <c r="G97" s="3" t="s">
        <v>77</v>
      </c>
      <c r="H97" s="3" t="s">
        <v>748</v>
      </c>
      <c r="I97" s="3">
        <v>16.0</v>
      </c>
      <c r="J97" s="3" t="s">
        <v>131</v>
      </c>
      <c r="K97" s="3" t="s">
        <v>95</v>
      </c>
      <c r="L97" s="6" t="s">
        <v>65</v>
      </c>
      <c r="M97" s="3" t="s">
        <v>124</v>
      </c>
      <c r="N97" s="2"/>
      <c r="O97" s="3" t="s">
        <v>749</v>
      </c>
      <c r="P97" s="3" t="s">
        <v>776</v>
      </c>
      <c r="Q97" s="2"/>
      <c r="R97" s="2"/>
      <c r="S97" s="2"/>
      <c r="T97" s="2"/>
      <c r="U97" s="2"/>
      <c r="V97" s="2"/>
      <c r="W97" s="2"/>
      <c r="X97" s="2"/>
      <c r="Y97" s="2"/>
      <c r="Z97" s="2"/>
    </row>
    <row r="98">
      <c r="A98" s="5" t="str">
        <f>IFERROR(__xludf.DUMMYFUNCTION("LEFT(A97, 4) &amp; TEXT(VALUE(REGEXEXTRACT(A97, ""\d+"")) + 1, ""0000"")"),"PSI-0096")</f>
        <v>PSI-0096</v>
      </c>
      <c r="B98" s="3" t="s">
        <v>704</v>
      </c>
      <c r="C98" s="4" t="s">
        <v>775</v>
      </c>
      <c r="D98" s="2" t="str">
        <f t="shared" si="1"/>
        <v>ENLOUQUECER PERMANENTEMENTE | MD</v>
      </c>
      <c r="E98" s="3" t="s">
        <v>94</v>
      </c>
      <c r="F98" s="3" t="s">
        <v>27</v>
      </c>
      <c r="G98" s="3" t="s">
        <v>77</v>
      </c>
      <c r="H98" s="3" t="s">
        <v>748</v>
      </c>
      <c r="I98" s="3">
        <v>16.0</v>
      </c>
      <c r="J98" s="3" t="s">
        <v>131</v>
      </c>
      <c r="K98" s="3" t="s">
        <v>95</v>
      </c>
      <c r="L98" s="6" t="s">
        <v>35</v>
      </c>
      <c r="M98" s="3" t="s">
        <v>124</v>
      </c>
      <c r="N98" s="2"/>
      <c r="O98" s="3" t="s">
        <v>749</v>
      </c>
      <c r="P98" s="3" t="s">
        <v>776</v>
      </c>
      <c r="Q98" s="2"/>
      <c r="R98" s="2"/>
      <c r="S98" s="2"/>
      <c r="T98" s="2"/>
      <c r="U98" s="2"/>
      <c r="V98" s="2"/>
      <c r="W98" s="2"/>
      <c r="X98" s="2"/>
      <c r="Y98" s="2"/>
      <c r="Z98" s="2"/>
    </row>
    <row r="99">
      <c r="A99" s="5" t="str">
        <f>IFERROR(__xludf.DUMMYFUNCTION("LEFT(A98, 4) &amp; TEXT(VALUE(REGEXEXTRACT(A98, ""\d+"")) + 1, ""0000"")"),"PSI-0097")</f>
        <v>PSI-0097</v>
      </c>
      <c r="B99" s="3" t="s">
        <v>704</v>
      </c>
      <c r="C99" s="4" t="s">
        <v>775</v>
      </c>
      <c r="D99" s="2" t="str">
        <f t="shared" si="1"/>
        <v>ENLOUQUECER PERMANENTEMENTE | MD</v>
      </c>
      <c r="E99" s="3" t="s">
        <v>94</v>
      </c>
      <c r="F99" s="3" t="s">
        <v>28</v>
      </c>
      <c r="G99" s="3" t="s">
        <v>77</v>
      </c>
      <c r="H99" s="3" t="s">
        <v>748</v>
      </c>
      <c r="I99" s="3">
        <v>16.0</v>
      </c>
      <c r="J99" s="3" t="s">
        <v>126</v>
      </c>
      <c r="K99" s="3" t="s">
        <v>95</v>
      </c>
      <c r="L99" s="6" t="s">
        <v>70</v>
      </c>
      <c r="M99" s="3" t="s">
        <v>124</v>
      </c>
      <c r="N99" s="2"/>
      <c r="O99" s="3" t="s">
        <v>749</v>
      </c>
      <c r="P99" s="3" t="s">
        <v>776</v>
      </c>
      <c r="Q99" s="2"/>
      <c r="R99" s="2"/>
      <c r="S99" s="2"/>
      <c r="T99" s="2"/>
      <c r="U99" s="2"/>
      <c r="V99" s="2"/>
      <c r="W99" s="2"/>
      <c r="X99" s="2"/>
      <c r="Y99" s="2"/>
      <c r="Z99" s="2"/>
    </row>
    <row r="100">
      <c r="A100" s="5" t="str">
        <f>IFERROR(__xludf.DUMMYFUNCTION("LEFT(A99, 4) &amp; TEXT(VALUE(REGEXEXTRACT(A99, ""\d+"")) + 1, ""0000"")"),"PSI-0098")</f>
        <v>PSI-0098</v>
      </c>
      <c r="B100" s="3" t="s">
        <v>704</v>
      </c>
      <c r="C100" s="4" t="s">
        <v>775</v>
      </c>
      <c r="D100" s="2" t="str">
        <f t="shared" si="1"/>
        <v>ENLOUQUECER PERMANENTEMENTE | MD</v>
      </c>
      <c r="E100" s="3" t="s">
        <v>94</v>
      </c>
      <c r="F100" s="3" t="s">
        <v>29</v>
      </c>
      <c r="G100" s="3" t="s">
        <v>77</v>
      </c>
      <c r="H100" s="3" t="s">
        <v>748</v>
      </c>
      <c r="I100" s="3">
        <v>16.0</v>
      </c>
      <c r="J100" s="3" t="s">
        <v>126</v>
      </c>
      <c r="K100" s="3" t="s">
        <v>95</v>
      </c>
      <c r="L100" s="6" t="s">
        <v>72</v>
      </c>
      <c r="M100" s="3" t="s">
        <v>124</v>
      </c>
      <c r="N100" s="2"/>
      <c r="O100" s="3" t="s">
        <v>749</v>
      </c>
      <c r="P100" s="3" t="s">
        <v>776</v>
      </c>
      <c r="Q100" s="2"/>
      <c r="R100" s="2"/>
      <c r="S100" s="2"/>
      <c r="T100" s="2"/>
      <c r="U100" s="2"/>
      <c r="V100" s="2"/>
      <c r="W100" s="2"/>
      <c r="X100" s="2"/>
      <c r="Y100" s="2"/>
      <c r="Z100" s="2"/>
    </row>
    <row r="101">
      <c r="A101" s="5" t="str">
        <f>IFERROR(__xludf.DUMMYFUNCTION("LEFT(A100, 4) &amp; TEXT(VALUE(REGEXEXTRACT(A100, ""\d+"")) + 1, ""0000"")"),"PSI-0099")</f>
        <v>PSI-0099</v>
      </c>
      <c r="B101" s="3" t="s">
        <v>704</v>
      </c>
      <c r="C101" s="4" t="s">
        <v>775</v>
      </c>
      <c r="D101" s="2" t="str">
        <f t="shared" si="1"/>
        <v>ENLOUQUECER PERMANENTEMENTE | MD</v>
      </c>
      <c r="E101" s="3" t="s">
        <v>94</v>
      </c>
      <c r="F101" s="3" t="s">
        <v>30</v>
      </c>
      <c r="G101" s="3" t="s">
        <v>77</v>
      </c>
      <c r="H101" s="3" t="s">
        <v>748</v>
      </c>
      <c r="I101" s="3">
        <v>16.0</v>
      </c>
      <c r="J101" s="3" t="s">
        <v>50</v>
      </c>
      <c r="K101" s="3" t="s">
        <v>95</v>
      </c>
      <c r="L101" s="6" t="s">
        <v>39</v>
      </c>
      <c r="M101" s="3" t="s">
        <v>124</v>
      </c>
      <c r="N101" s="2"/>
      <c r="O101" s="3" t="s">
        <v>749</v>
      </c>
      <c r="P101" s="3" t="s">
        <v>776</v>
      </c>
      <c r="Q101" s="2"/>
      <c r="R101" s="2"/>
      <c r="S101" s="2"/>
      <c r="T101" s="2"/>
      <c r="U101" s="2"/>
      <c r="V101" s="2"/>
      <c r="W101" s="2"/>
      <c r="X101" s="2"/>
      <c r="Y101" s="2"/>
      <c r="Z101" s="2"/>
    </row>
    <row r="102">
      <c r="A102" s="5" t="str">
        <f>IFERROR(__xludf.DUMMYFUNCTION("LEFT(A101, 4) &amp; TEXT(VALUE(REGEXEXTRACT(A101, ""\d+"")) + 1, ""0000"")"),"PSI-0100")</f>
        <v>PSI-0100</v>
      </c>
      <c r="B102" s="3" t="s">
        <v>704</v>
      </c>
      <c r="C102" s="3" t="s">
        <v>777</v>
      </c>
      <c r="D102" s="2" t="str">
        <f t="shared" si="1"/>
        <v>MEDO | M</v>
      </c>
      <c r="E102" s="3" t="s">
        <v>48</v>
      </c>
      <c r="F102" s="3" t="s">
        <v>21</v>
      </c>
      <c r="G102" s="3" t="s">
        <v>77</v>
      </c>
      <c r="H102" s="3" t="s">
        <v>33</v>
      </c>
      <c r="I102" s="3">
        <v>4.0</v>
      </c>
      <c r="J102" s="3" t="s">
        <v>23</v>
      </c>
      <c r="K102" s="3" t="s">
        <v>34</v>
      </c>
      <c r="L102" s="7" t="s">
        <v>65</v>
      </c>
      <c r="M102" s="3" t="s">
        <v>289</v>
      </c>
      <c r="N102" s="3" t="s">
        <v>406</v>
      </c>
      <c r="O102" s="3" t="s">
        <v>23</v>
      </c>
      <c r="P102" s="3" t="s">
        <v>778</v>
      </c>
      <c r="Q102" s="3" t="s">
        <v>779</v>
      </c>
      <c r="R102" s="2"/>
      <c r="S102" s="2"/>
      <c r="T102" s="2"/>
      <c r="U102" s="2"/>
      <c r="V102" s="2"/>
      <c r="W102" s="2"/>
      <c r="X102" s="2"/>
      <c r="Y102" s="2"/>
      <c r="Z102" s="2"/>
    </row>
    <row r="103">
      <c r="A103" s="5" t="str">
        <f>IFERROR(__xludf.DUMMYFUNCTION("LEFT(A102, 4) &amp; TEXT(VALUE(REGEXEXTRACT(A102, ""\d+"")) + 1, ""0000"")"),"PSI-0101")</f>
        <v>PSI-0101</v>
      </c>
      <c r="B103" s="3" t="s">
        <v>704</v>
      </c>
      <c r="C103" s="3" t="s">
        <v>777</v>
      </c>
      <c r="D103" s="2" t="str">
        <f t="shared" si="1"/>
        <v>MEDO | M</v>
      </c>
      <c r="E103" s="3" t="s">
        <v>48</v>
      </c>
      <c r="F103" s="3" t="s">
        <v>27</v>
      </c>
      <c r="G103" s="3" t="s">
        <v>77</v>
      </c>
      <c r="H103" s="3" t="s">
        <v>33</v>
      </c>
      <c r="I103" s="3">
        <v>4.0</v>
      </c>
      <c r="J103" s="3" t="s">
        <v>23</v>
      </c>
      <c r="K103" s="3" t="s">
        <v>34</v>
      </c>
      <c r="L103" s="3" t="s">
        <v>35</v>
      </c>
      <c r="M103" s="3" t="s">
        <v>65</v>
      </c>
      <c r="N103" s="3" t="s">
        <v>408</v>
      </c>
      <c r="O103" s="3" t="s">
        <v>23</v>
      </c>
      <c r="P103" s="3" t="s">
        <v>778</v>
      </c>
      <c r="Q103" s="3" t="s">
        <v>779</v>
      </c>
      <c r="R103" s="2"/>
      <c r="S103" s="2"/>
      <c r="T103" s="2"/>
      <c r="U103" s="2"/>
      <c r="V103" s="2"/>
      <c r="W103" s="2"/>
      <c r="X103" s="2"/>
      <c r="Y103" s="2"/>
      <c r="Z103" s="2"/>
    </row>
    <row r="104">
      <c r="A104" s="5" t="str">
        <f>IFERROR(__xludf.DUMMYFUNCTION("LEFT(A103, 4) &amp; TEXT(VALUE(REGEXEXTRACT(A103, ""\d+"")) + 1, ""0000"")"),"PSI-0102")</f>
        <v>PSI-0102</v>
      </c>
      <c r="B104" s="3" t="s">
        <v>704</v>
      </c>
      <c r="C104" s="3" t="s">
        <v>777</v>
      </c>
      <c r="D104" s="2" t="str">
        <f t="shared" si="1"/>
        <v>MEDO | M</v>
      </c>
      <c r="E104" s="3" t="s">
        <v>48</v>
      </c>
      <c r="F104" s="3" t="s">
        <v>28</v>
      </c>
      <c r="G104" s="3" t="s">
        <v>77</v>
      </c>
      <c r="H104" s="3" t="s">
        <v>33</v>
      </c>
      <c r="I104" s="3">
        <v>4.0</v>
      </c>
      <c r="J104" s="3" t="s">
        <v>23</v>
      </c>
      <c r="K104" s="3" t="s">
        <v>34</v>
      </c>
      <c r="L104" s="3" t="s">
        <v>70</v>
      </c>
      <c r="M104" s="3" t="s">
        <v>324</v>
      </c>
      <c r="N104" s="3" t="s">
        <v>410</v>
      </c>
      <c r="O104" s="3" t="s">
        <v>23</v>
      </c>
      <c r="P104" s="3" t="s">
        <v>778</v>
      </c>
      <c r="Q104" s="3" t="s">
        <v>779</v>
      </c>
      <c r="R104" s="2"/>
      <c r="S104" s="2"/>
      <c r="T104" s="2"/>
      <c r="U104" s="2"/>
      <c r="V104" s="2"/>
      <c r="W104" s="2"/>
      <c r="X104" s="2"/>
      <c r="Y104" s="2"/>
      <c r="Z104" s="2"/>
    </row>
    <row r="105">
      <c r="A105" s="5" t="str">
        <f>IFERROR(__xludf.DUMMYFUNCTION("LEFT(A104, 4) &amp; TEXT(VALUE(REGEXEXTRACT(A104, ""\d+"")) + 1, ""0000"")"),"PSI-0103")</f>
        <v>PSI-0103</v>
      </c>
      <c r="B105" s="3" t="s">
        <v>704</v>
      </c>
      <c r="C105" s="3" t="s">
        <v>777</v>
      </c>
      <c r="D105" s="2" t="str">
        <f t="shared" si="1"/>
        <v>MEDO | M</v>
      </c>
      <c r="E105" s="3" t="s">
        <v>48</v>
      </c>
      <c r="F105" s="3" t="s">
        <v>29</v>
      </c>
      <c r="G105" s="3" t="s">
        <v>77</v>
      </c>
      <c r="H105" s="3" t="s">
        <v>33</v>
      </c>
      <c r="I105" s="3">
        <v>4.0</v>
      </c>
      <c r="J105" s="3" t="s">
        <v>23</v>
      </c>
      <c r="K105" s="3" t="s">
        <v>34</v>
      </c>
      <c r="L105" s="3" t="s">
        <v>72</v>
      </c>
      <c r="M105" s="3" t="s">
        <v>35</v>
      </c>
      <c r="N105" s="3" t="s">
        <v>412</v>
      </c>
      <c r="O105" s="3" t="s">
        <v>23</v>
      </c>
      <c r="P105" s="3" t="s">
        <v>778</v>
      </c>
      <c r="Q105" s="3" t="s">
        <v>779</v>
      </c>
      <c r="R105" s="2"/>
      <c r="S105" s="2"/>
      <c r="T105" s="2"/>
      <c r="U105" s="2"/>
      <c r="V105" s="2"/>
      <c r="W105" s="2"/>
      <c r="X105" s="2"/>
      <c r="Y105" s="2"/>
      <c r="Z105" s="2"/>
    </row>
    <row r="106">
      <c r="A106" s="5" t="str">
        <f>IFERROR(__xludf.DUMMYFUNCTION("LEFT(A105, 4) &amp; TEXT(VALUE(REGEXEXTRACT(A105, ""\d+"")) + 1, ""0000"")"),"PSI-0104")</f>
        <v>PSI-0104</v>
      </c>
      <c r="B106" s="3" t="s">
        <v>704</v>
      </c>
      <c r="C106" s="3" t="s">
        <v>777</v>
      </c>
      <c r="D106" s="2" t="str">
        <f t="shared" si="1"/>
        <v>MEDO | M</v>
      </c>
      <c r="E106" s="3" t="s">
        <v>48</v>
      </c>
      <c r="F106" s="3" t="s">
        <v>30</v>
      </c>
      <c r="G106" s="3" t="s">
        <v>77</v>
      </c>
      <c r="H106" s="3" t="s">
        <v>33</v>
      </c>
      <c r="I106" s="3">
        <v>4.0</v>
      </c>
      <c r="J106" s="3" t="s">
        <v>23</v>
      </c>
      <c r="K106" s="3" t="s">
        <v>34</v>
      </c>
      <c r="L106" s="3" t="s">
        <v>39</v>
      </c>
      <c r="M106" s="3" t="s">
        <v>510</v>
      </c>
      <c r="N106" s="3" t="s">
        <v>353</v>
      </c>
      <c r="O106" s="3" t="s">
        <v>23</v>
      </c>
      <c r="P106" s="3" t="s">
        <v>778</v>
      </c>
      <c r="Q106" s="3" t="s">
        <v>779</v>
      </c>
      <c r="R106" s="2"/>
      <c r="S106" s="2"/>
      <c r="T106" s="2"/>
      <c r="U106" s="2"/>
      <c r="V106" s="2"/>
      <c r="W106" s="2"/>
      <c r="X106" s="2"/>
      <c r="Y106" s="2"/>
      <c r="Z106" s="2"/>
    </row>
    <row r="107">
      <c r="A107" s="5" t="str">
        <f>IFERROR(__xludf.DUMMYFUNCTION("LEFT(A106, 4) &amp; TEXT(VALUE(REGEXEXTRACT(A106, ""\d+"")) + 1, ""0000"")"),"PSI-0105")</f>
        <v>PSI-0105</v>
      </c>
      <c r="B107" s="3" t="s">
        <v>704</v>
      </c>
      <c r="C107" s="3" t="s">
        <v>780</v>
      </c>
      <c r="D107" s="2" t="str">
        <f t="shared" si="1"/>
        <v>PÂNICO | D</v>
      </c>
      <c r="E107" s="3" t="s">
        <v>76</v>
      </c>
      <c r="F107" s="3" t="s">
        <v>21</v>
      </c>
      <c r="G107" s="3" t="s">
        <v>77</v>
      </c>
      <c r="H107" s="3" t="s">
        <v>33</v>
      </c>
      <c r="I107" s="3">
        <v>8.0</v>
      </c>
      <c r="J107" s="3" t="s">
        <v>23</v>
      </c>
      <c r="K107" s="3" t="s">
        <v>34</v>
      </c>
      <c r="L107" s="7" t="s">
        <v>65</v>
      </c>
      <c r="M107" s="3" t="s">
        <v>289</v>
      </c>
      <c r="N107" s="3" t="s">
        <v>406</v>
      </c>
      <c r="O107" s="3" t="s">
        <v>23</v>
      </c>
      <c r="P107" s="3" t="s">
        <v>781</v>
      </c>
      <c r="Q107" s="2"/>
      <c r="R107" s="2"/>
      <c r="S107" s="2"/>
      <c r="T107" s="2"/>
      <c r="U107" s="2"/>
      <c r="V107" s="2"/>
      <c r="W107" s="2"/>
      <c r="X107" s="2"/>
      <c r="Y107" s="2"/>
      <c r="Z107" s="2"/>
    </row>
    <row r="108">
      <c r="A108" s="5" t="str">
        <f>IFERROR(__xludf.DUMMYFUNCTION("LEFT(A107, 4) &amp; TEXT(VALUE(REGEXEXTRACT(A107, ""\d+"")) + 1, ""0000"")"),"PSI-0106")</f>
        <v>PSI-0106</v>
      </c>
      <c r="B108" s="3" t="s">
        <v>704</v>
      </c>
      <c r="C108" s="3" t="s">
        <v>780</v>
      </c>
      <c r="D108" s="2" t="str">
        <f t="shared" si="1"/>
        <v>PÂNICO | D</v>
      </c>
      <c r="E108" s="3" t="s">
        <v>76</v>
      </c>
      <c r="F108" s="3" t="s">
        <v>27</v>
      </c>
      <c r="G108" s="3" t="s">
        <v>77</v>
      </c>
      <c r="H108" s="3" t="s">
        <v>33</v>
      </c>
      <c r="I108" s="3">
        <v>8.0</v>
      </c>
      <c r="J108" s="3" t="s">
        <v>23</v>
      </c>
      <c r="K108" s="3" t="s">
        <v>34</v>
      </c>
      <c r="L108" s="3" t="s">
        <v>35</v>
      </c>
      <c r="M108" s="3" t="s">
        <v>65</v>
      </c>
      <c r="N108" s="3" t="s">
        <v>408</v>
      </c>
      <c r="O108" s="3" t="s">
        <v>23</v>
      </c>
      <c r="P108" s="3" t="s">
        <v>781</v>
      </c>
      <c r="Q108" s="2"/>
      <c r="R108" s="2"/>
      <c r="S108" s="2"/>
      <c r="T108" s="2"/>
      <c r="U108" s="2"/>
      <c r="V108" s="2"/>
      <c r="W108" s="2"/>
      <c r="X108" s="2"/>
      <c r="Y108" s="2"/>
      <c r="Z108" s="2"/>
    </row>
    <row r="109">
      <c r="A109" s="5" t="str">
        <f>IFERROR(__xludf.DUMMYFUNCTION("LEFT(A108, 4) &amp; TEXT(VALUE(REGEXEXTRACT(A108, ""\d+"")) + 1, ""0000"")"),"PSI-0107")</f>
        <v>PSI-0107</v>
      </c>
      <c r="B109" s="3" t="s">
        <v>704</v>
      </c>
      <c r="C109" s="3" t="s">
        <v>780</v>
      </c>
      <c r="D109" s="2" t="str">
        <f t="shared" si="1"/>
        <v>PÂNICO | D</v>
      </c>
      <c r="E109" s="3" t="s">
        <v>76</v>
      </c>
      <c r="F109" s="3" t="s">
        <v>28</v>
      </c>
      <c r="G109" s="3" t="s">
        <v>77</v>
      </c>
      <c r="H109" s="3" t="s">
        <v>33</v>
      </c>
      <c r="I109" s="3">
        <v>8.0</v>
      </c>
      <c r="J109" s="3" t="s">
        <v>23</v>
      </c>
      <c r="K109" s="3" t="s">
        <v>34</v>
      </c>
      <c r="L109" s="3" t="s">
        <v>70</v>
      </c>
      <c r="M109" s="3" t="s">
        <v>324</v>
      </c>
      <c r="N109" s="3" t="s">
        <v>410</v>
      </c>
      <c r="O109" s="3" t="s">
        <v>23</v>
      </c>
      <c r="P109" s="3" t="s">
        <v>781</v>
      </c>
      <c r="Q109" s="2"/>
      <c r="R109" s="2"/>
      <c r="S109" s="2"/>
      <c r="T109" s="2"/>
      <c r="U109" s="2"/>
      <c r="V109" s="2"/>
      <c r="W109" s="2"/>
      <c r="X109" s="2"/>
      <c r="Y109" s="2"/>
      <c r="Z109" s="2"/>
    </row>
    <row r="110">
      <c r="A110" s="5" t="str">
        <f>IFERROR(__xludf.DUMMYFUNCTION("LEFT(A109, 4) &amp; TEXT(VALUE(REGEXEXTRACT(A109, ""\d+"")) + 1, ""0000"")"),"PSI-0108")</f>
        <v>PSI-0108</v>
      </c>
      <c r="B110" s="3" t="s">
        <v>704</v>
      </c>
      <c r="C110" s="3" t="s">
        <v>780</v>
      </c>
      <c r="D110" s="2" t="str">
        <f t="shared" si="1"/>
        <v>PÂNICO | D</v>
      </c>
      <c r="E110" s="3" t="s">
        <v>76</v>
      </c>
      <c r="F110" s="3" t="s">
        <v>29</v>
      </c>
      <c r="G110" s="3" t="s">
        <v>77</v>
      </c>
      <c r="H110" s="3" t="s">
        <v>33</v>
      </c>
      <c r="I110" s="3">
        <v>8.0</v>
      </c>
      <c r="J110" s="3" t="s">
        <v>23</v>
      </c>
      <c r="K110" s="3" t="s">
        <v>34</v>
      </c>
      <c r="L110" s="3" t="s">
        <v>72</v>
      </c>
      <c r="M110" s="3" t="s">
        <v>35</v>
      </c>
      <c r="N110" s="3" t="s">
        <v>412</v>
      </c>
      <c r="O110" s="3" t="s">
        <v>23</v>
      </c>
      <c r="P110" s="3" t="s">
        <v>781</v>
      </c>
      <c r="Q110" s="2"/>
      <c r="R110" s="2"/>
      <c r="S110" s="2"/>
      <c r="T110" s="2"/>
      <c r="U110" s="2"/>
      <c r="V110" s="2"/>
      <c r="W110" s="2"/>
      <c r="X110" s="2"/>
      <c r="Y110" s="2"/>
      <c r="Z110" s="2"/>
    </row>
    <row r="111">
      <c r="A111" s="5" t="str">
        <f>IFERROR(__xludf.DUMMYFUNCTION("LEFT(A110, 4) &amp; TEXT(VALUE(REGEXEXTRACT(A110, ""\d+"")) + 1, ""0000"")"),"PSI-0109")</f>
        <v>PSI-0109</v>
      </c>
      <c r="B111" s="3" t="s">
        <v>704</v>
      </c>
      <c r="C111" s="3" t="s">
        <v>780</v>
      </c>
      <c r="D111" s="2" t="str">
        <f t="shared" si="1"/>
        <v>PÂNICO | D</v>
      </c>
      <c r="E111" s="3" t="s">
        <v>76</v>
      </c>
      <c r="F111" s="3" t="s">
        <v>30</v>
      </c>
      <c r="G111" s="3" t="s">
        <v>77</v>
      </c>
      <c r="H111" s="3" t="s">
        <v>33</v>
      </c>
      <c r="I111" s="3">
        <v>8.0</v>
      </c>
      <c r="J111" s="3" t="s">
        <v>23</v>
      </c>
      <c r="K111" s="3" t="s">
        <v>34</v>
      </c>
      <c r="L111" s="3" t="s">
        <v>39</v>
      </c>
      <c r="M111" s="3" t="s">
        <v>510</v>
      </c>
      <c r="N111" s="3" t="s">
        <v>353</v>
      </c>
      <c r="O111" s="3" t="s">
        <v>23</v>
      </c>
      <c r="P111" s="3" t="s">
        <v>781</v>
      </c>
      <c r="Q111" s="2"/>
      <c r="R111" s="2"/>
      <c r="S111" s="2"/>
      <c r="T111" s="2"/>
      <c r="U111" s="2"/>
      <c r="V111" s="2"/>
      <c r="W111" s="2"/>
      <c r="X111" s="2"/>
      <c r="Y111" s="2"/>
      <c r="Z111" s="2"/>
    </row>
    <row r="112">
      <c r="A112" s="5" t="str">
        <f>IFERROR(__xludf.DUMMYFUNCTION("LEFT(A111, 4) &amp; TEXT(VALUE(REGEXEXTRACT(A111, ""\d+"")) + 1, ""0000"")"),"PSI-0110")</f>
        <v>PSI-0110</v>
      </c>
      <c r="B112" s="3" t="s">
        <v>704</v>
      </c>
      <c r="C112" s="3" t="s">
        <v>782</v>
      </c>
      <c r="D112" s="2" t="str">
        <f t="shared" si="1"/>
        <v>BRAVURA | M</v>
      </c>
      <c r="E112" s="3" t="s">
        <v>48</v>
      </c>
      <c r="F112" s="3" t="s">
        <v>21</v>
      </c>
      <c r="G112" s="3" t="s">
        <v>77</v>
      </c>
      <c r="H112" s="3" t="s">
        <v>33</v>
      </c>
      <c r="I112" s="3">
        <v>4.0</v>
      </c>
      <c r="J112" s="3" t="s">
        <v>23</v>
      </c>
      <c r="K112" s="3" t="s">
        <v>34</v>
      </c>
      <c r="L112" s="7" t="s">
        <v>65</v>
      </c>
      <c r="M112" s="3" t="s">
        <v>289</v>
      </c>
      <c r="N112" s="3" t="s">
        <v>125</v>
      </c>
      <c r="O112" s="3" t="s">
        <v>126</v>
      </c>
      <c r="P112" s="3" t="s">
        <v>783</v>
      </c>
      <c r="Q112" s="2"/>
      <c r="R112" s="2"/>
      <c r="S112" s="2"/>
      <c r="T112" s="2"/>
      <c r="U112" s="2"/>
      <c r="V112" s="2"/>
      <c r="W112" s="2"/>
      <c r="X112" s="2"/>
      <c r="Y112" s="2"/>
      <c r="Z112" s="2"/>
    </row>
    <row r="113">
      <c r="A113" s="5" t="str">
        <f>IFERROR(__xludf.DUMMYFUNCTION("LEFT(A112, 4) &amp; TEXT(VALUE(REGEXEXTRACT(A112, ""\d+"")) + 1, ""0000"")"),"PSI-0111")</f>
        <v>PSI-0111</v>
      </c>
      <c r="B113" s="3" t="s">
        <v>704</v>
      </c>
      <c r="C113" s="3" t="s">
        <v>782</v>
      </c>
      <c r="D113" s="2" t="str">
        <f t="shared" si="1"/>
        <v>BRAVURA | M</v>
      </c>
      <c r="E113" s="3" t="s">
        <v>48</v>
      </c>
      <c r="F113" s="3" t="s">
        <v>27</v>
      </c>
      <c r="G113" s="3" t="s">
        <v>77</v>
      </c>
      <c r="H113" s="3" t="s">
        <v>33</v>
      </c>
      <c r="I113" s="3">
        <v>4.0</v>
      </c>
      <c r="J113" s="3" t="s">
        <v>23</v>
      </c>
      <c r="K113" s="3" t="s">
        <v>34</v>
      </c>
      <c r="L113" s="3" t="s">
        <v>35</v>
      </c>
      <c r="M113" s="3" t="s">
        <v>65</v>
      </c>
      <c r="N113" s="3" t="s">
        <v>128</v>
      </c>
      <c r="O113" s="3" t="s">
        <v>126</v>
      </c>
      <c r="P113" s="3" t="s">
        <v>783</v>
      </c>
      <c r="Q113" s="2"/>
      <c r="R113" s="2"/>
      <c r="S113" s="2"/>
      <c r="T113" s="2"/>
      <c r="U113" s="2"/>
      <c r="V113" s="2"/>
      <c r="W113" s="2"/>
      <c r="X113" s="2"/>
      <c r="Y113" s="2"/>
      <c r="Z113" s="2"/>
    </row>
    <row r="114">
      <c r="A114" s="5" t="str">
        <f>IFERROR(__xludf.DUMMYFUNCTION("LEFT(A113, 4) &amp; TEXT(VALUE(REGEXEXTRACT(A113, ""\d+"")) + 1, ""0000"")"),"PSI-0112")</f>
        <v>PSI-0112</v>
      </c>
      <c r="B114" s="3" t="s">
        <v>704</v>
      </c>
      <c r="C114" s="3" t="s">
        <v>782</v>
      </c>
      <c r="D114" s="2" t="str">
        <f t="shared" si="1"/>
        <v>BRAVURA | M</v>
      </c>
      <c r="E114" s="3" t="s">
        <v>48</v>
      </c>
      <c r="F114" s="3" t="s">
        <v>28</v>
      </c>
      <c r="G114" s="3" t="s">
        <v>77</v>
      </c>
      <c r="H114" s="3" t="s">
        <v>33</v>
      </c>
      <c r="I114" s="3">
        <v>4.0</v>
      </c>
      <c r="J114" s="3" t="s">
        <v>23</v>
      </c>
      <c r="K114" s="3" t="s">
        <v>34</v>
      </c>
      <c r="L114" s="3" t="s">
        <v>70</v>
      </c>
      <c r="M114" s="3" t="s">
        <v>324</v>
      </c>
      <c r="N114" s="3" t="s">
        <v>130</v>
      </c>
      <c r="O114" s="3" t="s">
        <v>131</v>
      </c>
      <c r="P114" s="3" t="s">
        <v>783</v>
      </c>
      <c r="Q114" s="2"/>
      <c r="R114" s="2"/>
      <c r="S114" s="2"/>
      <c r="T114" s="2"/>
      <c r="U114" s="2"/>
      <c r="V114" s="2"/>
      <c r="W114" s="2"/>
      <c r="X114" s="2"/>
      <c r="Y114" s="2"/>
      <c r="Z114" s="2"/>
    </row>
    <row r="115">
      <c r="A115" s="5" t="str">
        <f>IFERROR(__xludf.DUMMYFUNCTION("LEFT(A114, 4) &amp; TEXT(VALUE(REGEXEXTRACT(A114, ""\d+"")) + 1, ""0000"")"),"PSI-0113")</f>
        <v>PSI-0113</v>
      </c>
      <c r="B115" s="3" t="s">
        <v>704</v>
      </c>
      <c r="C115" s="3" t="s">
        <v>782</v>
      </c>
      <c r="D115" s="2" t="str">
        <f t="shared" si="1"/>
        <v>BRAVURA | M</v>
      </c>
      <c r="E115" s="3" t="s">
        <v>48</v>
      </c>
      <c r="F115" s="3" t="s">
        <v>29</v>
      </c>
      <c r="G115" s="3" t="s">
        <v>77</v>
      </c>
      <c r="H115" s="3" t="s">
        <v>33</v>
      </c>
      <c r="I115" s="3">
        <v>4.0</v>
      </c>
      <c r="J115" s="3" t="s">
        <v>23</v>
      </c>
      <c r="K115" s="3" t="s">
        <v>34</v>
      </c>
      <c r="L115" s="3" t="s">
        <v>72</v>
      </c>
      <c r="M115" s="3" t="s">
        <v>35</v>
      </c>
      <c r="N115" s="3" t="s">
        <v>133</v>
      </c>
      <c r="O115" s="3" t="s">
        <v>131</v>
      </c>
      <c r="P115" s="3" t="s">
        <v>783</v>
      </c>
      <c r="Q115" s="2"/>
      <c r="R115" s="2"/>
      <c r="S115" s="2"/>
      <c r="T115" s="2"/>
      <c r="U115" s="2"/>
      <c r="V115" s="2"/>
      <c r="W115" s="2"/>
      <c r="X115" s="2"/>
      <c r="Y115" s="2"/>
      <c r="Z115" s="2"/>
    </row>
    <row r="116">
      <c r="A116" s="5" t="str">
        <f>IFERROR(__xludf.DUMMYFUNCTION("LEFT(A115, 4) &amp; TEXT(VALUE(REGEXEXTRACT(A115, ""\d+"")) + 1, ""0000"")"),"PSI-0114")</f>
        <v>PSI-0114</v>
      </c>
      <c r="B116" s="3" t="s">
        <v>704</v>
      </c>
      <c r="C116" s="3" t="s">
        <v>782</v>
      </c>
      <c r="D116" s="2" t="str">
        <f t="shared" si="1"/>
        <v>BRAVURA | M</v>
      </c>
      <c r="E116" s="3" t="s">
        <v>48</v>
      </c>
      <c r="F116" s="3" t="s">
        <v>30</v>
      </c>
      <c r="G116" s="3" t="s">
        <v>77</v>
      </c>
      <c r="H116" s="3" t="s">
        <v>33</v>
      </c>
      <c r="I116" s="3">
        <v>4.0</v>
      </c>
      <c r="J116" s="3" t="s">
        <v>23</v>
      </c>
      <c r="K116" s="3" t="s">
        <v>34</v>
      </c>
      <c r="L116" s="3" t="s">
        <v>39</v>
      </c>
      <c r="M116" s="3" t="s">
        <v>510</v>
      </c>
      <c r="N116" s="3" t="s">
        <v>135</v>
      </c>
      <c r="O116" s="3" t="s">
        <v>136</v>
      </c>
      <c r="P116" s="3" t="s">
        <v>783</v>
      </c>
      <c r="Q116" s="2"/>
      <c r="R116" s="2"/>
      <c r="S116" s="2"/>
      <c r="T116" s="2"/>
      <c r="U116" s="2"/>
      <c r="V116" s="2"/>
      <c r="W116" s="2"/>
      <c r="X116" s="2"/>
      <c r="Y116" s="2"/>
      <c r="Z116" s="2"/>
    </row>
    <row r="117">
      <c r="A117" s="5" t="str">
        <f>IFERROR(__xludf.DUMMYFUNCTION("LEFT(A116, 4) &amp; TEXT(VALUE(REGEXEXTRACT(A116, ""\d+"")) + 1, ""0000"")"),"PSI-0115")</f>
        <v>PSI-0115</v>
      </c>
      <c r="B117" s="3" t="s">
        <v>704</v>
      </c>
      <c r="C117" s="3" t="s">
        <v>784</v>
      </c>
      <c r="D117" s="2" t="str">
        <f t="shared" si="1"/>
        <v>BERSERKER | M</v>
      </c>
      <c r="E117" s="3" t="s">
        <v>48</v>
      </c>
      <c r="F117" s="3" t="s">
        <v>21</v>
      </c>
      <c r="G117" s="3" t="s">
        <v>77</v>
      </c>
      <c r="H117" s="3" t="s">
        <v>33</v>
      </c>
      <c r="I117" s="3">
        <v>8.0</v>
      </c>
      <c r="J117" s="3" t="s">
        <v>23</v>
      </c>
      <c r="K117" s="3" t="s">
        <v>95</v>
      </c>
      <c r="L117" s="6" t="s">
        <v>65</v>
      </c>
      <c r="M117" s="3" t="s">
        <v>124</v>
      </c>
      <c r="N117" s="3" t="s">
        <v>125</v>
      </c>
      <c r="O117" s="3" t="s">
        <v>126</v>
      </c>
      <c r="P117" s="3" t="s">
        <v>785</v>
      </c>
      <c r="Q117" s="3" t="s">
        <v>786</v>
      </c>
      <c r="R117" s="2"/>
      <c r="S117" s="2"/>
      <c r="T117" s="2"/>
      <c r="U117" s="2"/>
      <c r="V117" s="2"/>
      <c r="W117" s="2"/>
      <c r="X117" s="2"/>
      <c r="Y117" s="2"/>
      <c r="Z117" s="2"/>
    </row>
    <row r="118">
      <c r="A118" s="5" t="str">
        <f>IFERROR(__xludf.DUMMYFUNCTION("LEFT(A117, 4) &amp; TEXT(VALUE(REGEXEXTRACT(A117, ""\d+"")) + 1, ""0000"")"),"PSI-0116")</f>
        <v>PSI-0116</v>
      </c>
      <c r="B118" s="3" t="s">
        <v>704</v>
      </c>
      <c r="C118" s="3" t="s">
        <v>784</v>
      </c>
      <c r="D118" s="2" t="str">
        <f t="shared" si="1"/>
        <v>BERSERKER | M</v>
      </c>
      <c r="E118" s="3" t="s">
        <v>48</v>
      </c>
      <c r="F118" s="3" t="s">
        <v>27</v>
      </c>
      <c r="G118" s="3" t="s">
        <v>77</v>
      </c>
      <c r="H118" s="3" t="s">
        <v>33</v>
      </c>
      <c r="I118" s="3">
        <v>8.0</v>
      </c>
      <c r="J118" s="3" t="s">
        <v>23</v>
      </c>
      <c r="K118" s="3" t="s">
        <v>95</v>
      </c>
      <c r="L118" s="6" t="s">
        <v>35</v>
      </c>
      <c r="M118" s="3" t="s">
        <v>124</v>
      </c>
      <c r="N118" s="3" t="s">
        <v>128</v>
      </c>
      <c r="O118" s="3" t="s">
        <v>126</v>
      </c>
      <c r="P118" s="3" t="s">
        <v>785</v>
      </c>
      <c r="Q118" s="3" t="s">
        <v>787</v>
      </c>
      <c r="R118" s="2"/>
      <c r="S118" s="2"/>
      <c r="T118" s="2"/>
      <c r="U118" s="2"/>
      <c r="V118" s="2"/>
      <c r="W118" s="2"/>
      <c r="X118" s="2"/>
      <c r="Y118" s="2"/>
      <c r="Z118" s="2"/>
    </row>
    <row r="119">
      <c r="A119" s="5" t="str">
        <f>IFERROR(__xludf.DUMMYFUNCTION("LEFT(A118, 4) &amp; TEXT(VALUE(REGEXEXTRACT(A118, ""\d+"")) + 1, ""0000"")"),"PSI-0117")</f>
        <v>PSI-0117</v>
      </c>
      <c r="B119" s="3" t="s">
        <v>704</v>
      </c>
      <c r="C119" s="3" t="s">
        <v>784</v>
      </c>
      <c r="D119" s="2" t="str">
        <f t="shared" si="1"/>
        <v>BERSERKER | M</v>
      </c>
      <c r="E119" s="3" t="s">
        <v>48</v>
      </c>
      <c r="F119" s="3" t="s">
        <v>28</v>
      </c>
      <c r="G119" s="3" t="s">
        <v>77</v>
      </c>
      <c r="H119" s="3" t="s">
        <v>33</v>
      </c>
      <c r="I119" s="3">
        <v>8.0</v>
      </c>
      <c r="J119" s="3" t="s">
        <v>23</v>
      </c>
      <c r="K119" s="3" t="s">
        <v>95</v>
      </c>
      <c r="L119" s="6" t="s">
        <v>70</v>
      </c>
      <c r="M119" s="3" t="s">
        <v>124</v>
      </c>
      <c r="N119" s="3" t="s">
        <v>130</v>
      </c>
      <c r="O119" s="3" t="s">
        <v>131</v>
      </c>
      <c r="P119" s="3" t="s">
        <v>785</v>
      </c>
      <c r="Q119" s="3" t="s">
        <v>788</v>
      </c>
      <c r="R119" s="2"/>
      <c r="S119" s="2"/>
      <c r="T119" s="2"/>
      <c r="U119" s="2"/>
      <c r="V119" s="2"/>
      <c r="W119" s="2"/>
      <c r="X119" s="2"/>
      <c r="Y119" s="2"/>
      <c r="Z119" s="2"/>
    </row>
    <row r="120">
      <c r="A120" s="5" t="str">
        <f>IFERROR(__xludf.DUMMYFUNCTION("LEFT(A119, 4) &amp; TEXT(VALUE(REGEXEXTRACT(A119, ""\d+"")) + 1, ""0000"")"),"PSI-0118")</f>
        <v>PSI-0118</v>
      </c>
      <c r="B120" s="3" t="s">
        <v>704</v>
      </c>
      <c r="C120" s="3" t="s">
        <v>784</v>
      </c>
      <c r="D120" s="2" t="str">
        <f t="shared" si="1"/>
        <v>BERSERKER | M</v>
      </c>
      <c r="E120" s="3" t="s">
        <v>48</v>
      </c>
      <c r="F120" s="3" t="s">
        <v>29</v>
      </c>
      <c r="G120" s="3" t="s">
        <v>77</v>
      </c>
      <c r="H120" s="3" t="s">
        <v>33</v>
      </c>
      <c r="I120" s="3">
        <v>8.0</v>
      </c>
      <c r="J120" s="3" t="s">
        <v>23</v>
      </c>
      <c r="K120" s="3" t="s">
        <v>95</v>
      </c>
      <c r="L120" s="6" t="s">
        <v>72</v>
      </c>
      <c r="M120" s="3" t="s">
        <v>124</v>
      </c>
      <c r="N120" s="3" t="s">
        <v>133</v>
      </c>
      <c r="O120" s="3" t="s">
        <v>131</v>
      </c>
      <c r="P120" s="3" t="s">
        <v>785</v>
      </c>
      <c r="Q120" s="3" t="s">
        <v>789</v>
      </c>
      <c r="R120" s="2"/>
      <c r="S120" s="2"/>
      <c r="T120" s="2"/>
      <c r="U120" s="2"/>
      <c r="V120" s="2"/>
      <c r="W120" s="2"/>
      <c r="X120" s="2"/>
      <c r="Y120" s="2"/>
      <c r="Z120" s="2"/>
    </row>
    <row r="121">
      <c r="A121" s="5" t="str">
        <f>IFERROR(__xludf.DUMMYFUNCTION("LEFT(A120, 4) &amp; TEXT(VALUE(REGEXEXTRACT(A120, ""\d+"")) + 1, ""0000"")"),"PSI-0119")</f>
        <v>PSI-0119</v>
      </c>
      <c r="B121" s="3" t="s">
        <v>704</v>
      </c>
      <c r="C121" s="3" t="s">
        <v>784</v>
      </c>
      <c r="D121" s="2" t="str">
        <f t="shared" si="1"/>
        <v>BERSERKER | M</v>
      </c>
      <c r="E121" s="3" t="s">
        <v>48</v>
      </c>
      <c r="F121" s="3" t="s">
        <v>30</v>
      </c>
      <c r="G121" s="3" t="s">
        <v>77</v>
      </c>
      <c r="H121" s="3" t="s">
        <v>33</v>
      </c>
      <c r="I121" s="3">
        <v>8.0</v>
      </c>
      <c r="J121" s="3" t="s">
        <v>23</v>
      </c>
      <c r="K121" s="3" t="s">
        <v>95</v>
      </c>
      <c r="L121" s="6" t="s">
        <v>39</v>
      </c>
      <c r="M121" s="3" t="s">
        <v>124</v>
      </c>
      <c r="N121" s="3" t="s">
        <v>133</v>
      </c>
      <c r="O121" s="3" t="s">
        <v>790</v>
      </c>
      <c r="P121" s="3" t="s">
        <v>785</v>
      </c>
      <c r="Q121" s="3"/>
      <c r="R121" s="2"/>
      <c r="S121" s="2"/>
      <c r="T121" s="2"/>
      <c r="U121" s="2"/>
      <c r="V121" s="2"/>
      <c r="W121" s="2"/>
      <c r="X121" s="2"/>
      <c r="Y121" s="2"/>
      <c r="Z121" s="2"/>
    </row>
    <row r="122">
      <c r="A122" s="5" t="str">
        <f>IFERROR(__xludf.DUMMYFUNCTION("LEFT(A121, 4) &amp; TEXT(VALUE(REGEXEXTRACT(A121, ""\d+"")) + 1, ""0000"")"),"PSI-0120")</f>
        <v>PSI-0120</v>
      </c>
      <c r="B122" s="3" t="s">
        <v>704</v>
      </c>
      <c r="C122" s="3" t="s">
        <v>791</v>
      </c>
      <c r="D122" s="2" t="str">
        <f t="shared" si="1"/>
        <v>SONO TRANQUILO | F</v>
      </c>
      <c r="E122" s="3" t="s">
        <v>20</v>
      </c>
      <c r="F122" s="3" t="s">
        <v>21</v>
      </c>
      <c r="G122" s="3" t="s">
        <v>792</v>
      </c>
      <c r="H122" s="3" t="s">
        <v>33</v>
      </c>
      <c r="I122" s="3">
        <v>2.0</v>
      </c>
      <c r="J122" s="3" t="s">
        <v>23</v>
      </c>
      <c r="K122" s="3" t="s">
        <v>95</v>
      </c>
      <c r="L122" s="14" t="s">
        <v>195</v>
      </c>
      <c r="M122" s="3" t="s">
        <v>124</v>
      </c>
      <c r="N122" s="2"/>
      <c r="O122" s="3" t="s">
        <v>793</v>
      </c>
      <c r="P122" s="3" t="s">
        <v>794</v>
      </c>
      <c r="Q122" s="3" t="s">
        <v>795</v>
      </c>
      <c r="R122" s="2"/>
      <c r="S122" s="2"/>
      <c r="T122" s="2"/>
      <c r="U122" s="2"/>
      <c r="V122" s="2"/>
      <c r="W122" s="2"/>
      <c r="X122" s="2"/>
      <c r="Y122" s="2"/>
      <c r="Z122" s="2"/>
    </row>
    <row r="123">
      <c r="A123" s="5" t="str">
        <f>IFERROR(__xludf.DUMMYFUNCTION("LEFT(A122, 4) &amp; TEXT(VALUE(REGEXEXTRACT(A122, ""\d+"")) + 1, ""0000"")"),"PSI-0121")</f>
        <v>PSI-0121</v>
      </c>
      <c r="B123" s="3" t="s">
        <v>704</v>
      </c>
      <c r="C123" s="3" t="s">
        <v>791</v>
      </c>
      <c r="D123" s="2" t="str">
        <f t="shared" si="1"/>
        <v>SONO TRANQUILO | F</v>
      </c>
      <c r="E123" s="3" t="s">
        <v>20</v>
      </c>
      <c r="F123" s="3" t="s">
        <v>27</v>
      </c>
      <c r="G123" s="3" t="s">
        <v>792</v>
      </c>
      <c r="H123" s="3" t="s">
        <v>33</v>
      </c>
      <c r="I123" s="3">
        <v>2.0</v>
      </c>
      <c r="J123" s="3" t="s">
        <v>23</v>
      </c>
      <c r="K123" s="3" t="s">
        <v>95</v>
      </c>
      <c r="L123" s="14" t="s">
        <v>195</v>
      </c>
      <c r="M123" s="3" t="s">
        <v>124</v>
      </c>
      <c r="N123" s="2"/>
      <c r="O123" s="3" t="s">
        <v>793</v>
      </c>
      <c r="P123" s="3" t="s">
        <v>794</v>
      </c>
      <c r="Q123" s="3" t="s">
        <v>796</v>
      </c>
      <c r="R123" s="2"/>
      <c r="S123" s="2"/>
      <c r="T123" s="2"/>
      <c r="U123" s="2"/>
      <c r="V123" s="2"/>
      <c r="W123" s="2"/>
      <c r="X123" s="2"/>
      <c r="Y123" s="2"/>
      <c r="Z123" s="2"/>
    </row>
    <row r="124">
      <c r="A124" s="5" t="str">
        <f>IFERROR(__xludf.DUMMYFUNCTION("LEFT(A123, 4) &amp; TEXT(VALUE(REGEXEXTRACT(A123, ""\d+"")) + 1, ""0000"")"),"PSI-0122")</f>
        <v>PSI-0122</v>
      </c>
      <c r="B124" s="3" t="s">
        <v>704</v>
      </c>
      <c r="C124" s="3" t="s">
        <v>791</v>
      </c>
      <c r="D124" s="2" t="str">
        <f t="shared" si="1"/>
        <v>SONO TRANQUILO | F</v>
      </c>
      <c r="E124" s="3" t="s">
        <v>20</v>
      </c>
      <c r="F124" s="3" t="s">
        <v>28</v>
      </c>
      <c r="G124" s="3" t="s">
        <v>792</v>
      </c>
      <c r="H124" s="3" t="s">
        <v>33</v>
      </c>
      <c r="I124" s="3">
        <v>2.0</v>
      </c>
      <c r="J124" s="3" t="s">
        <v>23</v>
      </c>
      <c r="K124" s="3" t="s">
        <v>95</v>
      </c>
      <c r="L124" s="14" t="s">
        <v>195</v>
      </c>
      <c r="M124" s="3" t="s">
        <v>124</v>
      </c>
      <c r="N124" s="2"/>
      <c r="O124" s="3" t="s">
        <v>793</v>
      </c>
      <c r="P124" s="3" t="s">
        <v>794</v>
      </c>
      <c r="Q124" s="3" t="s">
        <v>797</v>
      </c>
      <c r="R124" s="2"/>
      <c r="S124" s="2"/>
      <c r="T124" s="2"/>
      <c r="U124" s="2"/>
      <c r="V124" s="2"/>
      <c r="W124" s="2"/>
      <c r="X124" s="2"/>
      <c r="Y124" s="2"/>
      <c r="Z124" s="2"/>
    </row>
    <row r="125">
      <c r="A125" s="5" t="str">
        <f>IFERROR(__xludf.DUMMYFUNCTION("LEFT(A124, 4) &amp; TEXT(VALUE(REGEXEXTRACT(A124, ""\d+"")) + 1, ""0000"")"),"PSI-0123")</f>
        <v>PSI-0123</v>
      </c>
      <c r="B125" s="3" t="s">
        <v>704</v>
      </c>
      <c r="C125" s="3" t="s">
        <v>791</v>
      </c>
      <c r="D125" s="2" t="str">
        <f t="shared" si="1"/>
        <v>SONO TRANQUILO | F</v>
      </c>
      <c r="E125" s="3" t="s">
        <v>20</v>
      </c>
      <c r="F125" s="3" t="s">
        <v>29</v>
      </c>
      <c r="G125" s="3" t="s">
        <v>792</v>
      </c>
      <c r="H125" s="3" t="s">
        <v>33</v>
      </c>
      <c r="I125" s="3">
        <v>2.0</v>
      </c>
      <c r="J125" s="3" t="s">
        <v>23</v>
      </c>
      <c r="K125" s="3" t="s">
        <v>95</v>
      </c>
      <c r="L125" s="14" t="s">
        <v>195</v>
      </c>
      <c r="M125" s="3" t="s">
        <v>124</v>
      </c>
      <c r="N125" s="2"/>
      <c r="O125" s="3" t="s">
        <v>793</v>
      </c>
      <c r="P125" s="3" t="s">
        <v>794</v>
      </c>
      <c r="Q125" s="3" t="s">
        <v>798</v>
      </c>
      <c r="R125" s="2"/>
      <c r="S125" s="2"/>
      <c r="T125" s="2"/>
      <c r="U125" s="2"/>
      <c r="V125" s="2"/>
      <c r="W125" s="2"/>
      <c r="X125" s="2"/>
      <c r="Y125" s="2"/>
      <c r="Z125" s="2"/>
    </row>
    <row r="126">
      <c r="A126" s="5" t="str">
        <f>IFERROR(__xludf.DUMMYFUNCTION("LEFT(A125, 4) &amp; TEXT(VALUE(REGEXEXTRACT(A125, ""\d+"")) + 1, ""0000"")"),"PSI-0124")</f>
        <v>PSI-0124</v>
      </c>
      <c r="B126" s="3" t="s">
        <v>704</v>
      </c>
      <c r="C126" s="3" t="s">
        <v>791</v>
      </c>
      <c r="D126" s="2" t="str">
        <f t="shared" si="1"/>
        <v>SONO TRANQUILO | F</v>
      </c>
      <c r="E126" s="3" t="s">
        <v>20</v>
      </c>
      <c r="F126" s="3" t="s">
        <v>30</v>
      </c>
      <c r="G126" s="3" t="s">
        <v>792</v>
      </c>
      <c r="H126" s="3" t="s">
        <v>33</v>
      </c>
      <c r="I126" s="3">
        <v>2.0</v>
      </c>
      <c r="J126" s="3" t="s">
        <v>23</v>
      </c>
      <c r="K126" s="3" t="s">
        <v>95</v>
      </c>
      <c r="L126" s="14" t="s">
        <v>195</v>
      </c>
      <c r="M126" s="3" t="s">
        <v>124</v>
      </c>
      <c r="N126" s="2"/>
      <c r="O126" s="3" t="s">
        <v>793</v>
      </c>
      <c r="P126" s="3" t="s">
        <v>794</v>
      </c>
      <c r="Q126" s="3" t="s">
        <v>799</v>
      </c>
      <c r="R126" s="2"/>
      <c r="S126" s="2"/>
      <c r="T126" s="2"/>
      <c r="U126" s="2"/>
      <c r="V126" s="2"/>
      <c r="W126" s="2"/>
      <c r="X126" s="2"/>
      <c r="Y126" s="2"/>
      <c r="Z126" s="2"/>
    </row>
    <row r="127">
      <c r="A127" s="5" t="str">
        <f>IFERROR(__xludf.DUMMYFUNCTION("LEFT(A126, 4) &amp; TEXT(VALUE(REGEXEXTRACT(A126, ""\d+"")) + 1, ""0000"")"),"PSI-0125")</f>
        <v>PSI-0125</v>
      </c>
      <c r="B127" s="3" t="s">
        <v>704</v>
      </c>
      <c r="C127" s="3" t="s">
        <v>800</v>
      </c>
      <c r="D127" s="2" t="str">
        <f t="shared" si="1"/>
        <v>PESADELO | M</v>
      </c>
      <c r="E127" s="3" t="s">
        <v>48</v>
      </c>
      <c r="F127" s="3" t="s">
        <v>21</v>
      </c>
      <c r="G127" s="3" t="s">
        <v>792</v>
      </c>
      <c r="H127" s="3" t="s">
        <v>725</v>
      </c>
      <c r="I127" s="3">
        <v>4.0</v>
      </c>
      <c r="J127" s="3" t="s">
        <v>131</v>
      </c>
      <c r="K127" s="3" t="s">
        <v>95</v>
      </c>
      <c r="L127" s="14" t="s">
        <v>195</v>
      </c>
      <c r="M127" s="3" t="s">
        <v>124</v>
      </c>
      <c r="N127" s="2"/>
      <c r="O127" s="3" t="s">
        <v>793</v>
      </c>
      <c r="P127" s="3" t="s">
        <v>801</v>
      </c>
      <c r="Q127" s="3" t="s">
        <v>802</v>
      </c>
      <c r="R127" s="2"/>
      <c r="S127" s="2"/>
      <c r="T127" s="2"/>
      <c r="U127" s="2"/>
      <c r="V127" s="2"/>
      <c r="W127" s="2"/>
      <c r="X127" s="2"/>
      <c r="Y127" s="2"/>
      <c r="Z127" s="2"/>
    </row>
    <row r="128">
      <c r="A128" s="5" t="str">
        <f>IFERROR(__xludf.DUMMYFUNCTION("LEFT(A127, 4) &amp; TEXT(VALUE(REGEXEXTRACT(A127, ""\d+"")) + 1, ""0000"")"),"PSI-0126")</f>
        <v>PSI-0126</v>
      </c>
      <c r="B128" s="3" t="s">
        <v>704</v>
      </c>
      <c r="C128" s="3" t="s">
        <v>800</v>
      </c>
      <c r="D128" s="2" t="str">
        <f t="shared" si="1"/>
        <v>PESADELO | M</v>
      </c>
      <c r="E128" s="3" t="s">
        <v>48</v>
      </c>
      <c r="F128" s="3" t="s">
        <v>27</v>
      </c>
      <c r="G128" s="3" t="s">
        <v>792</v>
      </c>
      <c r="H128" s="3" t="s">
        <v>725</v>
      </c>
      <c r="I128" s="3">
        <v>4.0</v>
      </c>
      <c r="J128" s="3" t="s">
        <v>131</v>
      </c>
      <c r="K128" s="3" t="s">
        <v>95</v>
      </c>
      <c r="L128" s="14" t="s">
        <v>195</v>
      </c>
      <c r="M128" s="3" t="s">
        <v>124</v>
      </c>
      <c r="N128" s="2"/>
      <c r="O128" s="3" t="s">
        <v>793</v>
      </c>
      <c r="P128" s="3" t="s">
        <v>803</v>
      </c>
      <c r="Q128" s="3" t="s">
        <v>804</v>
      </c>
      <c r="R128" s="2"/>
      <c r="S128" s="2"/>
      <c r="T128" s="2"/>
      <c r="U128" s="2"/>
      <c r="V128" s="2"/>
      <c r="W128" s="2"/>
      <c r="X128" s="2"/>
      <c r="Y128" s="2"/>
      <c r="Z128" s="2"/>
    </row>
    <row r="129">
      <c r="A129" s="5" t="str">
        <f>IFERROR(__xludf.DUMMYFUNCTION("LEFT(A128, 4) &amp; TEXT(VALUE(REGEXEXTRACT(A128, ""\d+"")) + 1, ""0000"")"),"PSI-0127")</f>
        <v>PSI-0127</v>
      </c>
      <c r="B129" s="3" t="s">
        <v>704</v>
      </c>
      <c r="C129" s="3" t="s">
        <v>800</v>
      </c>
      <c r="D129" s="2" t="str">
        <f t="shared" si="1"/>
        <v>PESADELO | M</v>
      </c>
      <c r="E129" s="3" t="s">
        <v>48</v>
      </c>
      <c r="F129" s="3" t="s">
        <v>28</v>
      </c>
      <c r="G129" s="3" t="s">
        <v>792</v>
      </c>
      <c r="H129" s="3" t="s">
        <v>725</v>
      </c>
      <c r="I129" s="3">
        <v>4.0</v>
      </c>
      <c r="J129" s="3" t="s">
        <v>126</v>
      </c>
      <c r="K129" s="3" t="s">
        <v>95</v>
      </c>
      <c r="L129" s="14" t="s">
        <v>195</v>
      </c>
      <c r="M129" s="3" t="s">
        <v>124</v>
      </c>
      <c r="N129" s="2"/>
      <c r="O129" s="3" t="s">
        <v>793</v>
      </c>
      <c r="P129" s="3" t="s">
        <v>805</v>
      </c>
      <c r="Q129" s="3" t="s">
        <v>806</v>
      </c>
      <c r="R129" s="2"/>
      <c r="S129" s="2"/>
      <c r="T129" s="2"/>
      <c r="U129" s="2"/>
      <c r="V129" s="2"/>
      <c r="W129" s="2"/>
      <c r="X129" s="2"/>
      <c r="Y129" s="2"/>
      <c r="Z129" s="2"/>
    </row>
    <row r="130">
      <c r="A130" s="5" t="str">
        <f>IFERROR(__xludf.DUMMYFUNCTION("LEFT(A129, 4) &amp; TEXT(VALUE(REGEXEXTRACT(A129, ""\d+"")) + 1, ""0000"")"),"PSI-0128")</f>
        <v>PSI-0128</v>
      </c>
      <c r="B130" s="3" t="s">
        <v>704</v>
      </c>
      <c r="C130" s="3" t="s">
        <v>800</v>
      </c>
      <c r="D130" s="2" t="str">
        <f t="shared" si="1"/>
        <v>PESADELO | M</v>
      </c>
      <c r="E130" s="3" t="s">
        <v>48</v>
      </c>
      <c r="F130" s="3" t="s">
        <v>29</v>
      </c>
      <c r="G130" s="3" t="s">
        <v>792</v>
      </c>
      <c r="H130" s="3" t="s">
        <v>725</v>
      </c>
      <c r="I130" s="3">
        <v>4.0</v>
      </c>
      <c r="J130" s="3" t="s">
        <v>126</v>
      </c>
      <c r="K130" s="3" t="s">
        <v>95</v>
      </c>
      <c r="L130" s="14" t="s">
        <v>195</v>
      </c>
      <c r="M130" s="3" t="s">
        <v>124</v>
      </c>
      <c r="N130" s="2"/>
      <c r="O130" s="3" t="s">
        <v>793</v>
      </c>
      <c r="P130" s="3" t="s">
        <v>807</v>
      </c>
      <c r="Q130" s="3" t="s">
        <v>808</v>
      </c>
      <c r="R130" s="2"/>
      <c r="S130" s="2"/>
      <c r="T130" s="2"/>
      <c r="U130" s="2"/>
      <c r="V130" s="2"/>
      <c r="W130" s="2"/>
      <c r="X130" s="2"/>
      <c r="Y130" s="2"/>
      <c r="Z130" s="2"/>
    </row>
    <row r="131">
      <c r="A131" s="5" t="str">
        <f>IFERROR(__xludf.DUMMYFUNCTION("LEFT(A130, 4) &amp; TEXT(VALUE(REGEXEXTRACT(A130, ""\d+"")) + 1, ""0000"")"),"PSI-0129")</f>
        <v>PSI-0129</v>
      </c>
      <c r="B131" s="3" t="s">
        <v>704</v>
      </c>
      <c r="C131" s="3" t="s">
        <v>800</v>
      </c>
      <c r="D131" s="2" t="str">
        <f t="shared" si="1"/>
        <v>PESADELO | M</v>
      </c>
      <c r="E131" s="3" t="s">
        <v>48</v>
      </c>
      <c r="F131" s="3" t="s">
        <v>30</v>
      </c>
      <c r="G131" s="3" t="s">
        <v>792</v>
      </c>
      <c r="H131" s="3" t="s">
        <v>725</v>
      </c>
      <c r="I131" s="3">
        <v>4.0</v>
      </c>
      <c r="J131" s="3" t="s">
        <v>50</v>
      </c>
      <c r="K131" s="3" t="s">
        <v>95</v>
      </c>
      <c r="L131" s="14" t="s">
        <v>195</v>
      </c>
      <c r="M131" s="3" t="s">
        <v>124</v>
      </c>
      <c r="N131" s="2"/>
      <c r="O131" s="3" t="s">
        <v>793</v>
      </c>
      <c r="P131" s="3" t="s">
        <v>809</v>
      </c>
      <c r="Q131" s="3" t="s">
        <v>810</v>
      </c>
      <c r="R131" s="2"/>
      <c r="S131" s="2"/>
      <c r="T131" s="2"/>
      <c r="U131" s="2"/>
      <c r="V131" s="2"/>
      <c r="W131" s="2"/>
      <c r="X131" s="2"/>
      <c r="Y131" s="2"/>
      <c r="Z131" s="2"/>
    </row>
    <row r="132">
      <c r="A132" s="5" t="str">
        <f>IFERROR(__xludf.DUMMYFUNCTION("LEFT(A131, 4) &amp; TEXT(VALUE(REGEXEXTRACT(A131, ""\d+"")) + 1, ""0000"")"),"PSI-0130")</f>
        <v>PSI-0130</v>
      </c>
      <c r="B132" s="3" t="s">
        <v>704</v>
      </c>
      <c r="C132" s="3" t="s">
        <v>811</v>
      </c>
      <c r="D132" s="2" t="str">
        <f t="shared" si="1"/>
        <v>VIGÍLIA | M</v>
      </c>
      <c r="E132" s="3" t="s">
        <v>48</v>
      </c>
      <c r="F132" s="3" t="s">
        <v>21</v>
      </c>
      <c r="G132" s="3" t="s">
        <v>792</v>
      </c>
      <c r="H132" s="3" t="s">
        <v>33</v>
      </c>
      <c r="I132" s="3">
        <v>4.0</v>
      </c>
      <c r="J132" s="3" t="s">
        <v>131</v>
      </c>
      <c r="K132" s="3" t="s">
        <v>95</v>
      </c>
      <c r="L132" s="14" t="s">
        <v>195</v>
      </c>
      <c r="M132" s="3" t="s">
        <v>124</v>
      </c>
      <c r="N132" s="2"/>
      <c r="O132" s="3" t="s">
        <v>793</v>
      </c>
      <c r="P132" s="3" t="s">
        <v>812</v>
      </c>
      <c r="Q132" s="3" t="s">
        <v>813</v>
      </c>
      <c r="R132" s="2"/>
      <c r="S132" s="2"/>
      <c r="T132" s="2"/>
      <c r="U132" s="2"/>
      <c r="V132" s="2"/>
      <c r="W132" s="2"/>
      <c r="X132" s="2"/>
      <c r="Y132" s="2"/>
      <c r="Z132" s="2"/>
    </row>
    <row r="133">
      <c r="A133" s="5" t="str">
        <f>IFERROR(__xludf.DUMMYFUNCTION("LEFT(A132, 4) &amp; TEXT(VALUE(REGEXEXTRACT(A132, ""\d+"")) + 1, ""0000"")"),"PSI-0131")</f>
        <v>PSI-0131</v>
      </c>
      <c r="B133" s="3" t="s">
        <v>704</v>
      </c>
      <c r="C133" s="3" t="s">
        <v>811</v>
      </c>
      <c r="D133" s="2" t="str">
        <f t="shared" si="1"/>
        <v>VIGÍLIA | M</v>
      </c>
      <c r="E133" s="3" t="s">
        <v>48</v>
      </c>
      <c r="F133" s="3" t="s">
        <v>27</v>
      </c>
      <c r="G133" s="3" t="s">
        <v>792</v>
      </c>
      <c r="H133" s="3" t="s">
        <v>33</v>
      </c>
      <c r="I133" s="3">
        <v>4.0</v>
      </c>
      <c r="J133" s="3" t="s">
        <v>131</v>
      </c>
      <c r="K133" s="3" t="s">
        <v>95</v>
      </c>
      <c r="L133" s="14" t="s">
        <v>195</v>
      </c>
      <c r="M133" s="3" t="s">
        <v>124</v>
      </c>
      <c r="N133" s="2"/>
      <c r="O133" s="3" t="s">
        <v>793</v>
      </c>
      <c r="P133" s="3" t="s">
        <v>812</v>
      </c>
      <c r="Q133" s="3" t="s">
        <v>814</v>
      </c>
      <c r="R133" s="2"/>
      <c r="S133" s="2"/>
      <c r="T133" s="2"/>
      <c r="U133" s="2"/>
      <c r="V133" s="2"/>
      <c r="W133" s="2"/>
      <c r="X133" s="2"/>
      <c r="Y133" s="2"/>
      <c r="Z133" s="2"/>
    </row>
    <row r="134">
      <c r="A134" s="5" t="str">
        <f>IFERROR(__xludf.DUMMYFUNCTION("LEFT(A133, 4) &amp; TEXT(VALUE(REGEXEXTRACT(A133, ""\d+"")) + 1, ""0000"")"),"PSI-0132")</f>
        <v>PSI-0132</v>
      </c>
      <c r="B134" s="3" t="s">
        <v>704</v>
      </c>
      <c r="C134" s="3" t="s">
        <v>811</v>
      </c>
      <c r="D134" s="2" t="str">
        <f t="shared" si="1"/>
        <v>VIGÍLIA | M</v>
      </c>
      <c r="E134" s="3" t="s">
        <v>48</v>
      </c>
      <c r="F134" s="3" t="s">
        <v>28</v>
      </c>
      <c r="G134" s="3" t="s">
        <v>792</v>
      </c>
      <c r="H134" s="3" t="s">
        <v>33</v>
      </c>
      <c r="I134" s="3">
        <v>4.0</v>
      </c>
      <c r="J134" s="3" t="s">
        <v>126</v>
      </c>
      <c r="K134" s="3" t="s">
        <v>95</v>
      </c>
      <c r="L134" s="14" t="s">
        <v>195</v>
      </c>
      <c r="M134" s="3" t="s">
        <v>124</v>
      </c>
      <c r="N134" s="2"/>
      <c r="O134" s="3" t="s">
        <v>793</v>
      </c>
      <c r="P134" s="3" t="s">
        <v>815</v>
      </c>
      <c r="Q134" s="3" t="s">
        <v>816</v>
      </c>
      <c r="R134" s="2"/>
      <c r="S134" s="2"/>
      <c r="T134" s="2"/>
      <c r="U134" s="2"/>
      <c r="V134" s="2"/>
      <c r="W134" s="2"/>
      <c r="X134" s="2"/>
      <c r="Y134" s="2"/>
      <c r="Z134" s="2"/>
    </row>
    <row r="135">
      <c r="A135" s="5" t="str">
        <f>IFERROR(__xludf.DUMMYFUNCTION("LEFT(A134, 4) &amp; TEXT(VALUE(REGEXEXTRACT(A134, ""\d+"")) + 1, ""0000"")"),"PSI-0133")</f>
        <v>PSI-0133</v>
      </c>
      <c r="B135" s="3" t="s">
        <v>704</v>
      </c>
      <c r="C135" s="3" t="s">
        <v>811</v>
      </c>
      <c r="D135" s="2" t="str">
        <f t="shared" si="1"/>
        <v>VIGÍLIA | M</v>
      </c>
      <c r="E135" s="3" t="s">
        <v>48</v>
      </c>
      <c r="F135" s="3" t="s">
        <v>29</v>
      </c>
      <c r="G135" s="3" t="s">
        <v>792</v>
      </c>
      <c r="H135" s="3" t="s">
        <v>33</v>
      </c>
      <c r="I135" s="3">
        <v>4.0</v>
      </c>
      <c r="J135" s="3" t="s">
        <v>126</v>
      </c>
      <c r="K135" s="3" t="s">
        <v>95</v>
      </c>
      <c r="L135" s="14" t="s">
        <v>195</v>
      </c>
      <c r="M135" s="3" t="s">
        <v>124</v>
      </c>
      <c r="N135" s="2"/>
      <c r="O135" s="3" t="s">
        <v>793</v>
      </c>
      <c r="P135" s="3" t="s">
        <v>815</v>
      </c>
      <c r="Q135" s="3" t="s">
        <v>817</v>
      </c>
      <c r="R135" s="2"/>
      <c r="S135" s="2"/>
      <c r="T135" s="2"/>
      <c r="U135" s="2"/>
      <c r="V135" s="2"/>
      <c r="W135" s="2"/>
      <c r="X135" s="2"/>
      <c r="Y135" s="2"/>
      <c r="Z135" s="2"/>
    </row>
    <row r="136">
      <c r="A136" s="5" t="str">
        <f>IFERROR(__xludf.DUMMYFUNCTION("LEFT(A135, 4) &amp; TEXT(VALUE(REGEXEXTRACT(A135, ""\d+"")) + 1, ""0000"")"),"PSI-0134")</f>
        <v>PSI-0134</v>
      </c>
      <c r="B136" s="3" t="s">
        <v>704</v>
      </c>
      <c r="C136" s="3" t="s">
        <v>811</v>
      </c>
      <c r="D136" s="2" t="str">
        <f t="shared" si="1"/>
        <v>VIGÍLIA | M</v>
      </c>
      <c r="E136" s="3" t="s">
        <v>48</v>
      </c>
      <c r="F136" s="3" t="s">
        <v>30</v>
      </c>
      <c r="G136" s="3" t="s">
        <v>792</v>
      </c>
      <c r="H136" s="3" t="s">
        <v>33</v>
      </c>
      <c r="I136" s="3">
        <v>4.0</v>
      </c>
      <c r="J136" s="3" t="s">
        <v>50</v>
      </c>
      <c r="K136" s="3" t="s">
        <v>95</v>
      </c>
      <c r="L136" s="14" t="s">
        <v>195</v>
      </c>
      <c r="M136" s="3" t="s">
        <v>124</v>
      </c>
      <c r="N136" s="2"/>
      <c r="O136" s="3" t="s">
        <v>793</v>
      </c>
      <c r="P136" s="3" t="s">
        <v>818</v>
      </c>
      <c r="Q136" s="3" t="s">
        <v>819</v>
      </c>
      <c r="R136" s="2"/>
      <c r="S136" s="2"/>
      <c r="T136" s="2"/>
      <c r="U136" s="2"/>
      <c r="V136" s="2"/>
      <c r="W136" s="2"/>
      <c r="X136" s="2"/>
      <c r="Y136" s="2"/>
      <c r="Z136" s="2"/>
    </row>
    <row r="137">
      <c r="A137" s="5" t="str">
        <f>IFERROR(__xludf.DUMMYFUNCTION("LEFT(A136, 4) &amp; TEXT(VALUE(REGEXEXTRACT(A136, ""\d+"")) + 1, ""0000"")"),"PSI-0135")</f>
        <v>PSI-0135</v>
      </c>
      <c r="B137" s="3" t="s">
        <v>704</v>
      </c>
      <c r="C137" s="3" t="s">
        <v>820</v>
      </c>
      <c r="D137" s="2" t="str">
        <f t="shared" si="1"/>
        <v>ADORMECER | M</v>
      </c>
      <c r="E137" s="3" t="s">
        <v>48</v>
      </c>
      <c r="F137" s="3" t="s">
        <v>21</v>
      </c>
      <c r="G137" s="3" t="s">
        <v>792</v>
      </c>
      <c r="H137" s="3" t="s">
        <v>33</v>
      </c>
      <c r="I137" s="3">
        <v>4.0</v>
      </c>
      <c r="J137" s="3" t="s">
        <v>50</v>
      </c>
      <c r="K137" s="3" t="s">
        <v>95</v>
      </c>
      <c r="L137" s="3" t="s">
        <v>195</v>
      </c>
      <c r="M137" s="3" t="s">
        <v>821</v>
      </c>
      <c r="N137" s="3" t="s">
        <v>276</v>
      </c>
      <c r="O137" s="3" t="s">
        <v>61</v>
      </c>
      <c r="P137" s="3" t="s">
        <v>822</v>
      </c>
      <c r="Q137" s="3" t="s">
        <v>823</v>
      </c>
      <c r="R137" s="2"/>
      <c r="S137" s="2"/>
      <c r="T137" s="2"/>
      <c r="U137" s="2"/>
      <c r="V137" s="2"/>
      <c r="W137" s="2"/>
      <c r="X137" s="2"/>
      <c r="Y137" s="2"/>
      <c r="Z137" s="2"/>
    </row>
    <row r="138">
      <c r="A138" s="5" t="str">
        <f>IFERROR(__xludf.DUMMYFUNCTION("LEFT(A137, 4) &amp; TEXT(VALUE(REGEXEXTRACT(A137, ""\d+"")) + 1, ""0000"")"),"PSI-0136")</f>
        <v>PSI-0136</v>
      </c>
      <c r="B138" s="3" t="s">
        <v>704</v>
      </c>
      <c r="C138" s="3" t="s">
        <v>820</v>
      </c>
      <c r="D138" s="2" t="str">
        <f t="shared" si="1"/>
        <v>ADORMECER | M</v>
      </c>
      <c r="E138" s="3" t="s">
        <v>48</v>
      </c>
      <c r="F138" s="3" t="s">
        <v>27</v>
      </c>
      <c r="G138" s="3" t="s">
        <v>792</v>
      </c>
      <c r="H138" s="3" t="s">
        <v>33</v>
      </c>
      <c r="I138" s="3">
        <v>4.0</v>
      </c>
      <c r="J138" s="3" t="s">
        <v>50</v>
      </c>
      <c r="K138" s="3" t="s">
        <v>95</v>
      </c>
      <c r="L138" s="3" t="s">
        <v>195</v>
      </c>
      <c r="M138" s="3" t="s">
        <v>821</v>
      </c>
      <c r="N138" s="3" t="s">
        <v>280</v>
      </c>
      <c r="O138" s="3" t="s">
        <v>294</v>
      </c>
      <c r="P138" s="3" t="s">
        <v>822</v>
      </c>
      <c r="Q138" s="3" t="s">
        <v>823</v>
      </c>
      <c r="R138" s="2"/>
      <c r="S138" s="2"/>
      <c r="T138" s="2"/>
      <c r="U138" s="2"/>
      <c r="V138" s="2"/>
      <c r="W138" s="2"/>
      <c r="X138" s="2"/>
      <c r="Y138" s="2"/>
      <c r="Z138" s="2"/>
    </row>
    <row r="139">
      <c r="A139" s="5" t="str">
        <f>IFERROR(__xludf.DUMMYFUNCTION("LEFT(A138, 4) &amp; TEXT(VALUE(REGEXEXTRACT(A138, ""\d+"")) + 1, ""0000"")"),"PSI-0137")</f>
        <v>PSI-0137</v>
      </c>
      <c r="B139" s="3" t="s">
        <v>704</v>
      </c>
      <c r="C139" s="3" t="s">
        <v>820</v>
      </c>
      <c r="D139" s="2" t="str">
        <f t="shared" si="1"/>
        <v>ADORMECER | M</v>
      </c>
      <c r="E139" s="3" t="s">
        <v>48</v>
      </c>
      <c r="F139" s="3" t="s">
        <v>28</v>
      </c>
      <c r="G139" s="3" t="s">
        <v>792</v>
      </c>
      <c r="H139" s="3" t="s">
        <v>33</v>
      </c>
      <c r="I139" s="3">
        <v>4.0</v>
      </c>
      <c r="J139" s="3" t="s">
        <v>50</v>
      </c>
      <c r="K139" s="3" t="s">
        <v>95</v>
      </c>
      <c r="L139" s="3" t="s">
        <v>195</v>
      </c>
      <c r="M139" s="3" t="s">
        <v>821</v>
      </c>
      <c r="N139" s="3" t="s">
        <v>282</v>
      </c>
      <c r="O139" s="3" t="s">
        <v>824</v>
      </c>
      <c r="P139" s="3" t="s">
        <v>822</v>
      </c>
      <c r="Q139" s="3" t="s">
        <v>823</v>
      </c>
      <c r="R139" s="2"/>
      <c r="S139" s="2"/>
      <c r="T139" s="2"/>
      <c r="U139" s="2"/>
      <c r="V139" s="2"/>
      <c r="W139" s="2"/>
      <c r="X139" s="2"/>
      <c r="Y139" s="2"/>
      <c r="Z139" s="2"/>
    </row>
    <row r="140">
      <c r="A140" s="5" t="str">
        <f>IFERROR(__xludf.DUMMYFUNCTION("LEFT(A139, 4) &amp; TEXT(VALUE(REGEXEXTRACT(A139, ""\d+"")) + 1, ""0000"")"),"PSI-0138")</f>
        <v>PSI-0138</v>
      </c>
      <c r="B140" s="3" t="s">
        <v>704</v>
      </c>
      <c r="C140" s="3" t="s">
        <v>820</v>
      </c>
      <c r="D140" s="2" t="str">
        <f t="shared" si="1"/>
        <v>ADORMECER | M</v>
      </c>
      <c r="E140" s="3" t="s">
        <v>48</v>
      </c>
      <c r="F140" s="3" t="s">
        <v>29</v>
      </c>
      <c r="G140" s="3" t="s">
        <v>792</v>
      </c>
      <c r="H140" s="3" t="s">
        <v>33</v>
      </c>
      <c r="I140" s="3">
        <v>4.0</v>
      </c>
      <c r="J140" s="3" t="s">
        <v>50</v>
      </c>
      <c r="K140" s="3" t="s">
        <v>95</v>
      </c>
      <c r="L140" s="3" t="s">
        <v>195</v>
      </c>
      <c r="M140" s="3" t="s">
        <v>821</v>
      </c>
      <c r="N140" s="3" t="s">
        <v>284</v>
      </c>
      <c r="O140" s="3" t="s">
        <v>825</v>
      </c>
      <c r="P140" s="3" t="s">
        <v>822</v>
      </c>
      <c r="Q140" s="3" t="s">
        <v>823</v>
      </c>
      <c r="R140" s="2"/>
      <c r="S140" s="2"/>
      <c r="T140" s="2"/>
      <c r="U140" s="2"/>
      <c r="V140" s="2"/>
      <c r="W140" s="2"/>
      <c r="X140" s="2"/>
      <c r="Y140" s="2"/>
      <c r="Z140" s="2"/>
    </row>
    <row r="141">
      <c r="A141" s="5" t="str">
        <f>IFERROR(__xludf.DUMMYFUNCTION("LEFT(A140, 4) &amp; TEXT(VALUE(REGEXEXTRACT(A140, ""\d+"")) + 1, ""0000"")"),"PSI-0139")</f>
        <v>PSI-0139</v>
      </c>
      <c r="B141" s="3" t="s">
        <v>704</v>
      </c>
      <c r="C141" s="3" t="s">
        <v>820</v>
      </c>
      <c r="D141" s="2" t="str">
        <f t="shared" si="1"/>
        <v>ADORMECER | M</v>
      </c>
      <c r="E141" s="3" t="s">
        <v>48</v>
      </c>
      <c r="F141" s="3" t="s">
        <v>30</v>
      </c>
      <c r="G141" s="3" t="s">
        <v>792</v>
      </c>
      <c r="H141" s="3" t="s">
        <v>33</v>
      </c>
      <c r="I141" s="3">
        <v>4.0</v>
      </c>
      <c r="J141" s="3" t="s">
        <v>23</v>
      </c>
      <c r="K141" s="3" t="s">
        <v>95</v>
      </c>
      <c r="L141" s="3" t="s">
        <v>195</v>
      </c>
      <c r="M141" s="3" t="s">
        <v>821</v>
      </c>
      <c r="N141" s="3" t="s">
        <v>286</v>
      </c>
      <c r="O141" s="3" t="s">
        <v>283</v>
      </c>
      <c r="P141" s="3" t="s">
        <v>822</v>
      </c>
      <c r="Q141" s="3" t="s">
        <v>823</v>
      </c>
      <c r="R141" s="2"/>
      <c r="S141" s="2"/>
      <c r="T141" s="2"/>
      <c r="U141" s="2"/>
      <c r="V141" s="2"/>
      <c r="W141" s="2"/>
      <c r="X141" s="2"/>
      <c r="Y141" s="2"/>
      <c r="Z141" s="2"/>
    </row>
    <row r="142">
      <c r="A142" s="5" t="str">
        <f>IFERROR(__xludf.DUMMYFUNCTION("LEFT(A141, 4) &amp; TEXT(VALUE(REGEXEXTRACT(A141, ""\d+"")) + 1, ""0000"")"),"PSI-0140")</f>
        <v>PSI-0140</v>
      </c>
      <c r="B142" s="3" t="s">
        <v>704</v>
      </c>
      <c r="C142" s="3" t="s">
        <v>826</v>
      </c>
      <c r="D142" s="2" t="str">
        <f t="shared" si="1"/>
        <v>ADORMECER EM MASSA | MD</v>
      </c>
      <c r="E142" s="3" t="s">
        <v>94</v>
      </c>
      <c r="F142" s="3" t="s">
        <v>21</v>
      </c>
      <c r="G142" s="3" t="s">
        <v>792</v>
      </c>
      <c r="H142" s="3" t="s">
        <v>827</v>
      </c>
      <c r="I142" s="3">
        <v>16.0</v>
      </c>
      <c r="J142" s="3" t="s">
        <v>126</v>
      </c>
      <c r="K142" s="3" t="s">
        <v>34</v>
      </c>
      <c r="L142" s="6" t="s">
        <v>65</v>
      </c>
      <c r="M142" s="3" t="s">
        <v>65</v>
      </c>
      <c r="N142" s="3" t="s">
        <v>276</v>
      </c>
      <c r="O142" s="3" t="s">
        <v>61</v>
      </c>
      <c r="P142" s="3" t="s">
        <v>828</v>
      </c>
      <c r="Q142" s="3" t="s">
        <v>829</v>
      </c>
      <c r="R142" s="2"/>
      <c r="S142" s="2"/>
      <c r="T142" s="2"/>
      <c r="U142" s="2"/>
      <c r="V142" s="2"/>
      <c r="W142" s="2"/>
      <c r="X142" s="2"/>
      <c r="Y142" s="2"/>
      <c r="Z142" s="2"/>
    </row>
    <row r="143">
      <c r="A143" s="5" t="str">
        <f>IFERROR(__xludf.DUMMYFUNCTION("LEFT(A142, 4) &amp; TEXT(VALUE(REGEXEXTRACT(A142, ""\d+"")) + 1, ""0000"")"),"PSI-0141")</f>
        <v>PSI-0141</v>
      </c>
      <c r="B143" s="3" t="s">
        <v>704</v>
      </c>
      <c r="C143" s="3" t="s">
        <v>826</v>
      </c>
      <c r="D143" s="2" t="str">
        <f t="shared" si="1"/>
        <v>ADORMECER EM MASSA | MD</v>
      </c>
      <c r="E143" s="3" t="s">
        <v>94</v>
      </c>
      <c r="F143" s="3" t="s">
        <v>27</v>
      </c>
      <c r="G143" s="3" t="s">
        <v>792</v>
      </c>
      <c r="H143" s="3" t="s">
        <v>827</v>
      </c>
      <c r="I143" s="3">
        <v>16.0</v>
      </c>
      <c r="J143" s="3" t="s">
        <v>126</v>
      </c>
      <c r="K143" s="3" t="s">
        <v>34</v>
      </c>
      <c r="L143" s="6" t="s">
        <v>35</v>
      </c>
      <c r="M143" s="3" t="s">
        <v>65</v>
      </c>
      <c r="N143" s="3" t="s">
        <v>280</v>
      </c>
      <c r="O143" s="3" t="s">
        <v>294</v>
      </c>
      <c r="P143" s="3" t="s">
        <v>828</v>
      </c>
      <c r="Q143" s="3" t="s">
        <v>829</v>
      </c>
      <c r="R143" s="2"/>
      <c r="S143" s="2"/>
      <c r="T143" s="2"/>
      <c r="U143" s="2"/>
      <c r="V143" s="2"/>
      <c r="W143" s="2"/>
      <c r="X143" s="2"/>
      <c r="Y143" s="2"/>
      <c r="Z143" s="2"/>
    </row>
    <row r="144">
      <c r="A144" s="5" t="str">
        <f>IFERROR(__xludf.DUMMYFUNCTION("LEFT(A143, 4) &amp; TEXT(VALUE(REGEXEXTRACT(A143, ""\d+"")) + 1, ""0000"")"),"PSI-0142")</f>
        <v>PSI-0142</v>
      </c>
      <c r="B144" s="3" t="s">
        <v>704</v>
      </c>
      <c r="C144" s="3" t="s">
        <v>826</v>
      </c>
      <c r="D144" s="2" t="str">
        <f t="shared" si="1"/>
        <v>ADORMECER EM MASSA | MD</v>
      </c>
      <c r="E144" s="3" t="s">
        <v>94</v>
      </c>
      <c r="F144" s="3" t="s">
        <v>28</v>
      </c>
      <c r="G144" s="3" t="s">
        <v>792</v>
      </c>
      <c r="H144" s="3" t="s">
        <v>827</v>
      </c>
      <c r="I144" s="3">
        <v>16.0</v>
      </c>
      <c r="J144" s="3" t="s">
        <v>50</v>
      </c>
      <c r="K144" s="3" t="s">
        <v>34</v>
      </c>
      <c r="L144" s="6" t="s">
        <v>70</v>
      </c>
      <c r="M144" s="3" t="s">
        <v>35</v>
      </c>
      <c r="N144" s="3" t="s">
        <v>282</v>
      </c>
      <c r="O144" s="3" t="s">
        <v>824</v>
      </c>
      <c r="P144" s="3" t="s">
        <v>828</v>
      </c>
      <c r="Q144" s="3" t="s">
        <v>829</v>
      </c>
      <c r="R144" s="2"/>
      <c r="S144" s="2"/>
      <c r="T144" s="2"/>
      <c r="U144" s="2"/>
      <c r="V144" s="2"/>
      <c r="W144" s="2"/>
      <c r="X144" s="2"/>
      <c r="Y144" s="2"/>
      <c r="Z144" s="2"/>
    </row>
    <row r="145">
      <c r="A145" s="5" t="str">
        <f>IFERROR(__xludf.DUMMYFUNCTION("LEFT(A144, 4) &amp; TEXT(VALUE(REGEXEXTRACT(A144, ""\d+"")) + 1, ""0000"")"),"PSI-0143")</f>
        <v>PSI-0143</v>
      </c>
      <c r="B145" s="3" t="s">
        <v>704</v>
      </c>
      <c r="C145" s="3" t="s">
        <v>826</v>
      </c>
      <c r="D145" s="2" t="str">
        <f t="shared" si="1"/>
        <v>ADORMECER EM MASSA | MD</v>
      </c>
      <c r="E145" s="3" t="s">
        <v>94</v>
      </c>
      <c r="F145" s="3" t="s">
        <v>29</v>
      </c>
      <c r="G145" s="3" t="s">
        <v>792</v>
      </c>
      <c r="H145" s="3" t="s">
        <v>827</v>
      </c>
      <c r="I145" s="3">
        <v>16.0</v>
      </c>
      <c r="J145" s="3" t="s">
        <v>50</v>
      </c>
      <c r="K145" s="3" t="s">
        <v>34</v>
      </c>
      <c r="L145" s="6" t="s">
        <v>72</v>
      </c>
      <c r="M145" s="3" t="s">
        <v>35</v>
      </c>
      <c r="N145" s="3" t="s">
        <v>284</v>
      </c>
      <c r="O145" s="3" t="s">
        <v>825</v>
      </c>
      <c r="P145" s="3" t="s">
        <v>828</v>
      </c>
      <c r="Q145" s="3" t="s">
        <v>829</v>
      </c>
      <c r="R145" s="2"/>
      <c r="S145" s="2"/>
      <c r="T145" s="2"/>
      <c r="U145" s="2"/>
      <c r="V145" s="2"/>
      <c r="W145" s="2"/>
      <c r="X145" s="2"/>
      <c r="Y145" s="2"/>
      <c r="Z145" s="2"/>
    </row>
    <row r="146">
      <c r="A146" s="5" t="str">
        <f>IFERROR(__xludf.DUMMYFUNCTION("LEFT(A145, 4) &amp; TEXT(VALUE(REGEXEXTRACT(A145, ""\d+"")) + 1, ""0000"")"),"PSI-0144")</f>
        <v>PSI-0144</v>
      </c>
      <c r="B146" s="3" t="s">
        <v>704</v>
      </c>
      <c r="C146" s="3" t="s">
        <v>826</v>
      </c>
      <c r="D146" s="2" t="str">
        <f t="shared" si="1"/>
        <v>ADORMECER EM MASSA | MD</v>
      </c>
      <c r="E146" s="3" t="s">
        <v>94</v>
      </c>
      <c r="F146" s="3" t="s">
        <v>30</v>
      </c>
      <c r="G146" s="3" t="s">
        <v>792</v>
      </c>
      <c r="H146" s="3" t="s">
        <v>827</v>
      </c>
      <c r="I146" s="3">
        <v>16.0</v>
      </c>
      <c r="J146" s="3" t="s">
        <v>23</v>
      </c>
      <c r="K146" s="3" t="s">
        <v>34</v>
      </c>
      <c r="L146" s="6" t="s">
        <v>39</v>
      </c>
      <c r="M146" s="3" t="s">
        <v>253</v>
      </c>
      <c r="N146" s="3" t="s">
        <v>286</v>
      </c>
      <c r="O146" s="3" t="s">
        <v>283</v>
      </c>
      <c r="P146" s="3" t="s">
        <v>828</v>
      </c>
      <c r="Q146" s="3" t="s">
        <v>829</v>
      </c>
      <c r="R146" s="2"/>
      <c r="S146" s="2"/>
      <c r="T146" s="2"/>
      <c r="U146" s="2"/>
      <c r="V146" s="2"/>
      <c r="W146" s="2"/>
      <c r="X146" s="2"/>
      <c r="Y146" s="2"/>
      <c r="Z146" s="2"/>
    </row>
    <row r="147">
      <c r="A147" s="5" t="str">
        <f>IFERROR(__xludf.DUMMYFUNCTION("LEFT(A146, 4) &amp; TEXT(VALUE(REGEXEXTRACT(A146, ""\d+"")) + 1, ""0000"")"),"PSI-0145")</f>
        <v>PSI-0145</v>
      </c>
      <c r="B147" s="3" t="s">
        <v>704</v>
      </c>
      <c r="C147" s="3" t="s">
        <v>830</v>
      </c>
      <c r="D147" s="2" t="str">
        <f t="shared" si="1"/>
        <v>DESPERTAR | F</v>
      </c>
      <c r="E147" s="3" t="s">
        <v>20</v>
      </c>
      <c r="F147" s="3" t="s">
        <v>21</v>
      </c>
      <c r="G147" s="3" t="s">
        <v>792</v>
      </c>
      <c r="H147" s="3" t="s">
        <v>33</v>
      </c>
      <c r="I147" s="3">
        <v>2.0</v>
      </c>
      <c r="J147" s="3" t="s">
        <v>126</v>
      </c>
      <c r="K147" s="3" t="s">
        <v>34</v>
      </c>
      <c r="L147" s="6" t="s">
        <v>65</v>
      </c>
      <c r="M147" s="3" t="s">
        <v>65</v>
      </c>
      <c r="N147" s="3"/>
      <c r="O147" s="3" t="s">
        <v>23</v>
      </c>
      <c r="P147" s="3" t="s">
        <v>831</v>
      </c>
      <c r="Q147" s="3" t="s">
        <v>832</v>
      </c>
      <c r="R147" s="2"/>
      <c r="S147" s="2"/>
      <c r="T147" s="2"/>
      <c r="U147" s="2"/>
      <c r="V147" s="2"/>
      <c r="W147" s="2"/>
      <c r="X147" s="2"/>
      <c r="Y147" s="2"/>
      <c r="Z147" s="2"/>
    </row>
    <row r="148">
      <c r="A148" s="5" t="str">
        <f>IFERROR(__xludf.DUMMYFUNCTION("LEFT(A147, 4) &amp; TEXT(VALUE(REGEXEXTRACT(A147, ""\d+"")) + 1, ""0000"")"),"PSI-0146")</f>
        <v>PSI-0146</v>
      </c>
      <c r="B148" s="3" t="s">
        <v>704</v>
      </c>
      <c r="C148" s="3" t="s">
        <v>830</v>
      </c>
      <c r="D148" s="2" t="str">
        <f t="shared" si="1"/>
        <v>DESPERTAR | F</v>
      </c>
      <c r="E148" s="3" t="s">
        <v>20</v>
      </c>
      <c r="F148" s="3" t="s">
        <v>27</v>
      </c>
      <c r="G148" s="3" t="s">
        <v>792</v>
      </c>
      <c r="H148" s="3" t="s">
        <v>33</v>
      </c>
      <c r="I148" s="3">
        <v>2.0</v>
      </c>
      <c r="J148" s="3" t="s">
        <v>126</v>
      </c>
      <c r="K148" s="3" t="s">
        <v>34</v>
      </c>
      <c r="L148" s="6" t="s">
        <v>35</v>
      </c>
      <c r="M148" s="3" t="s">
        <v>65</v>
      </c>
      <c r="N148" s="3"/>
      <c r="O148" s="3" t="s">
        <v>23</v>
      </c>
      <c r="P148" s="3" t="s">
        <v>831</v>
      </c>
      <c r="Q148" s="3" t="s">
        <v>832</v>
      </c>
      <c r="R148" s="2"/>
      <c r="S148" s="2"/>
      <c r="T148" s="2"/>
      <c r="U148" s="2"/>
      <c r="V148" s="2"/>
      <c r="W148" s="2"/>
      <c r="X148" s="2"/>
      <c r="Y148" s="2"/>
      <c r="Z148" s="2"/>
    </row>
    <row r="149">
      <c r="A149" s="5" t="str">
        <f>IFERROR(__xludf.DUMMYFUNCTION("LEFT(A148, 4) &amp; TEXT(VALUE(REGEXEXTRACT(A148, ""\d+"")) + 1, ""0000"")"),"PSI-0147")</f>
        <v>PSI-0147</v>
      </c>
      <c r="B149" s="3" t="s">
        <v>704</v>
      </c>
      <c r="C149" s="3" t="s">
        <v>830</v>
      </c>
      <c r="D149" s="2" t="str">
        <f t="shared" si="1"/>
        <v>DESPERTAR | F</v>
      </c>
      <c r="E149" s="3" t="s">
        <v>20</v>
      </c>
      <c r="F149" s="3" t="s">
        <v>28</v>
      </c>
      <c r="G149" s="3" t="s">
        <v>792</v>
      </c>
      <c r="H149" s="3" t="s">
        <v>33</v>
      </c>
      <c r="I149" s="3">
        <v>2.0</v>
      </c>
      <c r="J149" s="3" t="s">
        <v>50</v>
      </c>
      <c r="K149" s="3" t="s">
        <v>34</v>
      </c>
      <c r="L149" s="6" t="s">
        <v>70</v>
      </c>
      <c r="M149" s="3" t="s">
        <v>35</v>
      </c>
      <c r="N149" s="3"/>
      <c r="O149" s="3" t="s">
        <v>23</v>
      </c>
      <c r="P149" s="3" t="s">
        <v>831</v>
      </c>
      <c r="Q149" s="3" t="s">
        <v>832</v>
      </c>
      <c r="R149" s="2"/>
      <c r="S149" s="2"/>
      <c r="T149" s="2"/>
      <c r="U149" s="2"/>
      <c r="V149" s="2"/>
      <c r="W149" s="2"/>
      <c r="X149" s="2"/>
      <c r="Y149" s="2"/>
      <c r="Z149" s="2"/>
    </row>
    <row r="150">
      <c r="A150" s="5" t="str">
        <f>IFERROR(__xludf.DUMMYFUNCTION("LEFT(A149, 4) &amp; TEXT(VALUE(REGEXEXTRACT(A149, ""\d+"")) + 1, ""0000"")"),"PSI-0148")</f>
        <v>PSI-0148</v>
      </c>
      <c r="B150" s="3" t="s">
        <v>704</v>
      </c>
      <c r="C150" s="3" t="s">
        <v>830</v>
      </c>
      <c r="D150" s="2" t="str">
        <f t="shared" si="1"/>
        <v>DESPERTAR | F</v>
      </c>
      <c r="E150" s="3" t="s">
        <v>20</v>
      </c>
      <c r="F150" s="3" t="s">
        <v>29</v>
      </c>
      <c r="G150" s="3" t="s">
        <v>792</v>
      </c>
      <c r="H150" s="3" t="s">
        <v>33</v>
      </c>
      <c r="I150" s="3">
        <v>2.0</v>
      </c>
      <c r="J150" s="3" t="s">
        <v>50</v>
      </c>
      <c r="K150" s="3" t="s">
        <v>34</v>
      </c>
      <c r="L150" s="6" t="s">
        <v>72</v>
      </c>
      <c r="M150" s="3" t="s">
        <v>35</v>
      </c>
      <c r="N150" s="3"/>
      <c r="O150" s="3" t="s">
        <v>23</v>
      </c>
      <c r="P150" s="3" t="s">
        <v>831</v>
      </c>
      <c r="Q150" s="3" t="s">
        <v>832</v>
      </c>
      <c r="R150" s="2"/>
      <c r="S150" s="2"/>
      <c r="T150" s="2"/>
      <c r="U150" s="2"/>
      <c r="V150" s="2"/>
      <c r="W150" s="2"/>
      <c r="X150" s="2"/>
      <c r="Y150" s="2"/>
      <c r="Z150" s="2"/>
    </row>
    <row r="151">
      <c r="A151" s="5" t="str">
        <f>IFERROR(__xludf.DUMMYFUNCTION("LEFT(A150, 4) &amp; TEXT(VALUE(REGEXEXTRACT(A150, ""\d+"")) + 1, ""0000"")"),"PSI-0149")</f>
        <v>PSI-0149</v>
      </c>
      <c r="B151" s="3" t="s">
        <v>704</v>
      </c>
      <c r="C151" s="3" t="s">
        <v>830</v>
      </c>
      <c r="D151" s="2" t="str">
        <f t="shared" si="1"/>
        <v>DESPERTAR | F</v>
      </c>
      <c r="E151" s="3" t="s">
        <v>20</v>
      </c>
      <c r="F151" s="3" t="s">
        <v>30</v>
      </c>
      <c r="G151" s="3" t="s">
        <v>792</v>
      </c>
      <c r="H151" s="3" t="s">
        <v>33</v>
      </c>
      <c r="I151" s="3">
        <v>2.0</v>
      </c>
      <c r="J151" s="3" t="s">
        <v>23</v>
      </c>
      <c r="K151" s="3" t="s">
        <v>34</v>
      </c>
      <c r="L151" s="6" t="s">
        <v>39</v>
      </c>
      <c r="M151" s="3" t="s">
        <v>253</v>
      </c>
      <c r="N151" s="3"/>
      <c r="O151" s="3" t="s">
        <v>23</v>
      </c>
      <c r="P151" s="3" t="s">
        <v>831</v>
      </c>
      <c r="Q151" s="3" t="s">
        <v>832</v>
      </c>
      <c r="R151" s="2"/>
      <c r="S151" s="2"/>
      <c r="T151" s="2"/>
      <c r="U151" s="2"/>
      <c r="V151" s="2"/>
      <c r="W151" s="2"/>
      <c r="X151" s="2"/>
      <c r="Y151" s="2"/>
      <c r="Z151" s="2"/>
    </row>
    <row r="152">
      <c r="A152" s="5" t="str">
        <f>IFERROR(__xludf.DUMMYFUNCTION("LEFT(A151, 4) &amp; TEXT(VALUE(REGEXEXTRACT(A151, ""\d+"")) + 1, ""0000"")"),"PSI-0150")</f>
        <v>PSI-0150</v>
      </c>
      <c r="B152" s="3" t="s">
        <v>704</v>
      </c>
      <c r="C152" s="3" t="s">
        <v>833</v>
      </c>
      <c r="D152" s="2" t="str">
        <f t="shared" si="1"/>
        <v>SUGESTÃO | M</v>
      </c>
      <c r="E152" s="3" t="s">
        <v>48</v>
      </c>
      <c r="F152" s="3" t="s">
        <v>21</v>
      </c>
      <c r="G152" s="3" t="s">
        <v>77</v>
      </c>
      <c r="H152" s="3" t="s">
        <v>33</v>
      </c>
      <c r="I152" s="3">
        <v>4.0</v>
      </c>
      <c r="J152" s="3" t="s">
        <v>23</v>
      </c>
      <c r="K152" s="3" t="s">
        <v>95</v>
      </c>
      <c r="L152" s="6" t="s">
        <v>65</v>
      </c>
      <c r="M152" s="3" t="s">
        <v>124</v>
      </c>
      <c r="N152" s="3" t="s">
        <v>125</v>
      </c>
      <c r="O152" s="3" t="s">
        <v>126</v>
      </c>
      <c r="P152" s="7" t="s">
        <v>834</v>
      </c>
      <c r="Q152" s="3" t="s">
        <v>835</v>
      </c>
      <c r="R152" s="2"/>
      <c r="S152" s="2"/>
      <c r="T152" s="2"/>
      <c r="U152" s="2"/>
      <c r="V152" s="2"/>
      <c r="W152" s="2"/>
      <c r="X152" s="2"/>
      <c r="Y152" s="2"/>
      <c r="Z152" s="2"/>
    </row>
    <row r="153">
      <c r="A153" s="5" t="str">
        <f>IFERROR(__xludf.DUMMYFUNCTION("LEFT(A152, 4) &amp; TEXT(VALUE(REGEXEXTRACT(A152, ""\d+"")) + 1, ""0000"")"),"PSI-0151")</f>
        <v>PSI-0151</v>
      </c>
      <c r="B153" s="3" t="s">
        <v>704</v>
      </c>
      <c r="C153" s="3" t="s">
        <v>833</v>
      </c>
      <c r="D153" s="2" t="str">
        <f t="shared" si="1"/>
        <v>SUGESTÃO | M</v>
      </c>
      <c r="E153" s="3" t="s">
        <v>48</v>
      </c>
      <c r="F153" s="3" t="s">
        <v>27</v>
      </c>
      <c r="G153" s="3" t="s">
        <v>77</v>
      </c>
      <c r="H153" s="3" t="s">
        <v>33</v>
      </c>
      <c r="I153" s="3">
        <v>4.0</v>
      </c>
      <c r="J153" s="3" t="s">
        <v>23</v>
      </c>
      <c r="K153" s="3" t="s">
        <v>95</v>
      </c>
      <c r="L153" s="6" t="s">
        <v>35</v>
      </c>
      <c r="M153" s="3" t="s">
        <v>124</v>
      </c>
      <c r="N153" s="3" t="s">
        <v>128</v>
      </c>
      <c r="O153" s="3" t="s">
        <v>126</v>
      </c>
      <c r="P153" s="7" t="s">
        <v>834</v>
      </c>
      <c r="Q153" s="3" t="s">
        <v>835</v>
      </c>
      <c r="R153" s="2"/>
      <c r="S153" s="2"/>
      <c r="T153" s="2"/>
      <c r="U153" s="2"/>
      <c r="V153" s="2"/>
      <c r="W153" s="2"/>
      <c r="X153" s="2"/>
      <c r="Y153" s="2"/>
      <c r="Z153" s="2"/>
    </row>
    <row r="154">
      <c r="A154" s="5" t="str">
        <f>IFERROR(__xludf.DUMMYFUNCTION("LEFT(A153, 4) &amp; TEXT(VALUE(REGEXEXTRACT(A153, ""\d+"")) + 1, ""0000"")"),"PSI-0152")</f>
        <v>PSI-0152</v>
      </c>
      <c r="B154" s="3" t="s">
        <v>704</v>
      </c>
      <c r="C154" s="3" t="s">
        <v>833</v>
      </c>
      <c r="D154" s="2" t="str">
        <f t="shared" si="1"/>
        <v>SUGESTÃO | M</v>
      </c>
      <c r="E154" s="3" t="s">
        <v>48</v>
      </c>
      <c r="F154" s="3" t="s">
        <v>28</v>
      </c>
      <c r="G154" s="3" t="s">
        <v>77</v>
      </c>
      <c r="H154" s="3" t="s">
        <v>33</v>
      </c>
      <c r="I154" s="3">
        <v>4.0</v>
      </c>
      <c r="J154" s="3" t="s">
        <v>23</v>
      </c>
      <c r="K154" s="3" t="s">
        <v>95</v>
      </c>
      <c r="L154" s="6" t="s">
        <v>70</v>
      </c>
      <c r="M154" s="3" t="s">
        <v>124</v>
      </c>
      <c r="N154" s="3" t="s">
        <v>130</v>
      </c>
      <c r="O154" s="3" t="s">
        <v>131</v>
      </c>
      <c r="P154" s="7" t="s">
        <v>834</v>
      </c>
      <c r="Q154" s="3" t="s">
        <v>835</v>
      </c>
      <c r="R154" s="2"/>
      <c r="S154" s="2"/>
      <c r="T154" s="2"/>
      <c r="U154" s="2"/>
      <c r="V154" s="2"/>
      <c r="W154" s="2"/>
      <c r="X154" s="2"/>
      <c r="Y154" s="2"/>
      <c r="Z154" s="2"/>
    </row>
    <row r="155">
      <c r="A155" s="5" t="str">
        <f>IFERROR(__xludf.DUMMYFUNCTION("LEFT(A154, 4) &amp; TEXT(VALUE(REGEXEXTRACT(A154, ""\d+"")) + 1, ""0000"")"),"PSI-0153")</f>
        <v>PSI-0153</v>
      </c>
      <c r="B155" s="3" t="s">
        <v>704</v>
      </c>
      <c r="C155" s="3" t="s">
        <v>833</v>
      </c>
      <c r="D155" s="2" t="str">
        <f t="shared" si="1"/>
        <v>SUGESTÃO | M</v>
      </c>
      <c r="E155" s="3" t="s">
        <v>48</v>
      </c>
      <c r="F155" s="3" t="s">
        <v>29</v>
      </c>
      <c r="G155" s="3" t="s">
        <v>77</v>
      </c>
      <c r="H155" s="3" t="s">
        <v>33</v>
      </c>
      <c r="I155" s="3">
        <v>4.0</v>
      </c>
      <c r="J155" s="3" t="s">
        <v>23</v>
      </c>
      <c r="K155" s="3" t="s">
        <v>95</v>
      </c>
      <c r="L155" s="6" t="s">
        <v>72</v>
      </c>
      <c r="M155" s="3" t="s">
        <v>124</v>
      </c>
      <c r="N155" s="3" t="s">
        <v>133</v>
      </c>
      <c r="O155" s="3" t="s">
        <v>131</v>
      </c>
      <c r="P155" s="7" t="s">
        <v>834</v>
      </c>
      <c r="Q155" s="3" t="s">
        <v>835</v>
      </c>
      <c r="R155" s="2"/>
      <c r="S155" s="2"/>
      <c r="T155" s="2"/>
      <c r="U155" s="2"/>
      <c r="V155" s="2"/>
      <c r="W155" s="2"/>
      <c r="X155" s="2"/>
      <c r="Y155" s="2"/>
      <c r="Z155" s="2"/>
    </row>
    <row r="156">
      <c r="A156" s="5" t="str">
        <f>IFERROR(__xludf.DUMMYFUNCTION("LEFT(A155, 4) &amp; TEXT(VALUE(REGEXEXTRACT(A155, ""\d+"")) + 1, ""0000"")"),"PSI-0154")</f>
        <v>PSI-0154</v>
      </c>
      <c r="B156" s="3" t="s">
        <v>704</v>
      </c>
      <c r="C156" s="3" t="s">
        <v>833</v>
      </c>
      <c r="D156" s="2" t="str">
        <f t="shared" si="1"/>
        <v>SUGESTÃO | M</v>
      </c>
      <c r="E156" s="3" t="s">
        <v>48</v>
      </c>
      <c r="F156" s="3" t="s">
        <v>30</v>
      </c>
      <c r="G156" s="3" t="s">
        <v>77</v>
      </c>
      <c r="H156" s="3" t="s">
        <v>33</v>
      </c>
      <c r="I156" s="3">
        <v>4.0</v>
      </c>
      <c r="J156" s="3" t="s">
        <v>23</v>
      </c>
      <c r="K156" s="3" t="s">
        <v>95</v>
      </c>
      <c r="L156" s="6" t="s">
        <v>39</v>
      </c>
      <c r="M156" s="3" t="s">
        <v>124</v>
      </c>
      <c r="N156" s="3" t="s">
        <v>133</v>
      </c>
      <c r="O156" s="3" t="s">
        <v>790</v>
      </c>
      <c r="P156" s="7" t="s">
        <v>834</v>
      </c>
      <c r="Q156" s="3" t="s">
        <v>835</v>
      </c>
      <c r="R156" s="2"/>
      <c r="S156" s="2"/>
      <c r="T156" s="2"/>
      <c r="U156" s="2"/>
      <c r="V156" s="2"/>
      <c r="W156" s="2"/>
      <c r="X156" s="2"/>
      <c r="Y156" s="2"/>
      <c r="Z156" s="2"/>
    </row>
    <row r="157">
      <c r="A157" s="5" t="str">
        <f>IFERROR(__xludf.DUMMYFUNCTION("LEFT(A156, 4) &amp; TEXT(VALUE(REGEXEXTRACT(A156, ""\d+"")) + 1, ""0000"")"),"PSI-0155")</f>
        <v>PSI-0155</v>
      </c>
      <c r="B157" s="3" t="s">
        <v>704</v>
      </c>
      <c r="C157" s="3" t="s">
        <v>836</v>
      </c>
      <c r="D157" s="2" t="str">
        <f t="shared" si="1"/>
        <v>SUGESTÃO EM MASSA | D</v>
      </c>
      <c r="E157" s="3" t="s">
        <v>76</v>
      </c>
      <c r="F157" s="3" t="s">
        <v>21</v>
      </c>
      <c r="G157" s="3" t="s">
        <v>77</v>
      </c>
      <c r="H157" s="3" t="s">
        <v>837</v>
      </c>
      <c r="I157" s="3">
        <v>8.0</v>
      </c>
      <c r="J157" s="3" t="s">
        <v>126</v>
      </c>
      <c r="K157" s="3" t="s">
        <v>34</v>
      </c>
      <c r="L157" s="6" t="s">
        <v>65</v>
      </c>
      <c r="M157" s="3" t="s">
        <v>65</v>
      </c>
      <c r="N157" s="3" t="s">
        <v>125</v>
      </c>
      <c r="O157" s="3" t="s">
        <v>126</v>
      </c>
      <c r="P157" s="3" t="s">
        <v>838</v>
      </c>
      <c r="Q157" s="2"/>
      <c r="R157" s="2"/>
      <c r="S157" s="2"/>
      <c r="T157" s="2"/>
      <c r="U157" s="2"/>
      <c r="V157" s="2"/>
      <c r="W157" s="2"/>
      <c r="X157" s="2"/>
      <c r="Y157" s="2"/>
      <c r="Z157" s="2"/>
    </row>
    <row r="158">
      <c r="A158" s="5" t="str">
        <f>IFERROR(__xludf.DUMMYFUNCTION("LEFT(A157, 4) &amp; TEXT(VALUE(REGEXEXTRACT(A157, ""\d+"")) + 1, ""0000"")"),"PSI-0156")</f>
        <v>PSI-0156</v>
      </c>
      <c r="B158" s="3" t="s">
        <v>704</v>
      </c>
      <c r="C158" s="3" t="s">
        <v>836</v>
      </c>
      <c r="D158" s="2" t="str">
        <f t="shared" si="1"/>
        <v>SUGESTÃO EM MASSA | D</v>
      </c>
      <c r="E158" s="3" t="s">
        <v>76</v>
      </c>
      <c r="F158" s="3" t="s">
        <v>27</v>
      </c>
      <c r="G158" s="3" t="s">
        <v>77</v>
      </c>
      <c r="H158" s="3" t="s">
        <v>837</v>
      </c>
      <c r="I158" s="3">
        <v>8.0</v>
      </c>
      <c r="J158" s="3" t="s">
        <v>126</v>
      </c>
      <c r="K158" s="3" t="s">
        <v>34</v>
      </c>
      <c r="L158" s="6" t="s">
        <v>35</v>
      </c>
      <c r="M158" s="3" t="s">
        <v>65</v>
      </c>
      <c r="N158" s="3" t="s">
        <v>333</v>
      </c>
      <c r="O158" s="3" t="s">
        <v>126</v>
      </c>
      <c r="P158" s="3" t="s">
        <v>838</v>
      </c>
      <c r="Q158" s="2"/>
      <c r="R158" s="2"/>
      <c r="S158" s="2"/>
      <c r="T158" s="2"/>
      <c r="U158" s="2"/>
      <c r="V158" s="2"/>
      <c r="W158" s="2"/>
      <c r="X158" s="2"/>
      <c r="Y158" s="2"/>
      <c r="Z158" s="2"/>
    </row>
    <row r="159">
      <c r="A159" s="5" t="str">
        <f>IFERROR(__xludf.DUMMYFUNCTION("LEFT(A158, 4) &amp; TEXT(VALUE(REGEXEXTRACT(A158, ""\d+"")) + 1, ""0000"")"),"PSI-0157")</f>
        <v>PSI-0157</v>
      </c>
      <c r="B159" s="3" t="s">
        <v>704</v>
      </c>
      <c r="C159" s="3" t="s">
        <v>836</v>
      </c>
      <c r="D159" s="2" t="str">
        <f t="shared" si="1"/>
        <v>SUGESTÃO EM MASSA | D</v>
      </c>
      <c r="E159" s="3" t="s">
        <v>76</v>
      </c>
      <c r="F159" s="3" t="s">
        <v>28</v>
      </c>
      <c r="G159" s="3" t="s">
        <v>77</v>
      </c>
      <c r="H159" s="3" t="s">
        <v>837</v>
      </c>
      <c r="I159" s="3">
        <v>8.0</v>
      </c>
      <c r="J159" s="3" t="s">
        <v>50</v>
      </c>
      <c r="K159" s="3" t="s">
        <v>34</v>
      </c>
      <c r="L159" s="6" t="s">
        <v>70</v>
      </c>
      <c r="M159" s="3" t="s">
        <v>35</v>
      </c>
      <c r="N159" s="3" t="s">
        <v>335</v>
      </c>
      <c r="O159" s="3" t="s">
        <v>131</v>
      </c>
      <c r="P159" s="3" t="s">
        <v>838</v>
      </c>
      <c r="Q159" s="2"/>
      <c r="R159" s="2"/>
      <c r="S159" s="2"/>
      <c r="T159" s="2"/>
      <c r="U159" s="2"/>
      <c r="V159" s="2"/>
      <c r="W159" s="2"/>
      <c r="X159" s="2"/>
      <c r="Y159" s="2"/>
      <c r="Z159" s="2"/>
    </row>
    <row r="160">
      <c r="A160" s="5" t="str">
        <f>IFERROR(__xludf.DUMMYFUNCTION("LEFT(A159, 4) &amp; TEXT(VALUE(REGEXEXTRACT(A159, ""\d+"")) + 1, ""0000"")"),"PSI-0158")</f>
        <v>PSI-0158</v>
      </c>
      <c r="B160" s="3" t="s">
        <v>704</v>
      </c>
      <c r="C160" s="3" t="s">
        <v>836</v>
      </c>
      <c r="D160" s="2" t="str">
        <f t="shared" si="1"/>
        <v>SUGESTÃO EM MASSA | D</v>
      </c>
      <c r="E160" s="3" t="s">
        <v>76</v>
      </c>
      <c r="F160" s="3" t="s">
        <v>29</v>
      </c>
      <c r="G160" s="3" t="s">
        <v>77</v>
      </c>
      <c r="H160" s="3" t="s">
        <v>837</v>
      </c>
      <c r="I160" s="3">
        <v>8.0</v>
      </c>
      <c r="J160" s="3" t="s">
        <v>50</v>
      </c>
      <c r="K160" s="3" t="s">
        <v>34</v>
      </c>
      <c r="L160" s="6" t="s">
        <v>72</v>
      </c>
      <c r="M160" s="3" t="s">
        <v>35</v>
      </c>
      <c r="N160" s="3" t="s">
        <v>337</v>
      </c>
      <c r="O160" s="3" t="s">
        <v>131</v>
      </c>
      <c r="P160" s="3" t="s">
        <v>838</v>
      </c>
      <c r="Q160" s="2"/>
      <c r="R160" s="2"/>
      <c r="S160" s="2"/>
      <c r="T160" s="2"/>
      <c r="U160" s="2"/>
      <c r="V160" s="2"/>
      <c r="W160" s="2"/>
      <c r="X160" s="2"/>
      <c r="Y160" s="2"/>
      <c r="Z160" s="2"/>
    </row>
    <row r="161">
      <c r="A161" s="5" t="str">
        <f>IFERROR(__xludf.DUMMYFUNCTION("LEFT(A160, 4) &amp; TEXT(VALUE(REGEXEXTRACT(A160, ""\d+"")) + 1, ""0000"")"),"PSI-0159")</f>
        <v>PSI-0159</v>
      </c>
      <c r="B161" s="3" t="s">
        <v>704</v>
      </c>
      <c r="C161" s="3" t="s">
        <v>836</v>
      </c>
      <c r="D161" s="2" t="str">
        <f t="shared" si="1"/>
        <v>SUGESTÃO EM MASSA | D</v>
      </c>
      <c r="E161" s="3" t="s">
        <v>76</v>
      </c>
      <c r="F161" s="3" t="s">
        <v>30</v>
      </c>
      <c r="G161" s="3" t="s">
        <v>77</v>
      </c>
      <c r="H161" s="3" t="s">
        <v>837</v>
      </c>
      <c r="I161" s="3">
        <v>8.0</v>
      </c>
      <c r="J161" s="3" t="s">
        <v>23</v>
      </c>
      <c r="K161" s="3" t="s">
        <v>34</v>
      </c>
      <c r="L161" s="6" t="s">
        <v>39</v>
      </c>
      <c r="M161" s="3" t="s">
        <v>253</v>
      </c>
      <c r="N161" s="3" t="s">
        <v>339</v>
      </c>
      <c r="O161" s="3" t="s">
        <v>136</v>
      </c>
      <c r="P161" s="3" t="s">
        <v>838</v>
      </c>
      <c r="Q161" s="2"/>
      <c r="R161" s="2"/>
      <c r="S161" s="2"/>
      <c r="T161" s="2"/>
      <c r="U161" s="2"/>
      <c r="V161" s="2"/>
      <c r="W161" s="2"/>
      <c r="X161" s="2"/>
      <c r="Y161" s="2"/>
      <c r="Z161" s="2"/>
    </row>
    <row r="162">
      <c r="A162" s="5" t="str">
        <f>IFERROR(__xludf.DUMMYFUNCTION("LEFT(A161, 4) &amp; TEXT(VALUE(REGEXEXTRACT(A161, ""\d+"")) + 1, ""0000"")"),"PSI-0160")</f>
        <v>PSI-0160</v>
      </c>
      <c r="B162" s="3" t="s">
        <v>704</v>
      </c>
      <c r="C162" s="3" t="s">
        <v>839</v>
      </c>
      <c r="D162" s="2" t="str">
        <f t="shared" si="1"/>
        <v>TORPOR | M</v>
      </c>
      <c r="E162" s="3" t="s">
        <v>48</v>
      </c>
      <c r="F162" s="3" t="s">
        <v>21</v>
      </c>
      <c r="G162" s="3" t="s">
        <v>77</v>
      </c>
      <c r="H162" s="3" t="s">
        <v>33</v>
      </c>
      <c r="I162" s="3">
        <v>4.0</v>
      </c>
      <c r="J162" s="3" t="s">
        <v>23</v>
      </c>
      <c r="K162" s="3" t="s">
        <v>95</v>
      </c>
      <c r="L162" s="6" t="s">
        <v>65</v>
      </c>
      <c r="M162" s="3" t="s">
        <v>124</v>
      </c>
      <c r="N162" s="3" t="s">
        <v>125</v>
      </c>
      <c r="O162" s="3" t="s">
        <v>126</v>
      </c>
      <c r="P162" s="3" t="s">
        <v>840</v>
      </c>
      <c r="Q162" s="2"/>
      <c r="R162" s="2"/>
      <c r="S162" s="2"/>
      <c r="T162" s="2"/>
      <c r="U162" s="2"/>
      <c r="V162" s="2"/>
      <c r="W162" s="2"/>
      <c r="X162" s="2"/>
      <c r="Y162" s="2"/>
      <c r="Z162" s="2"/>
    </row>
    <row r="163">
      <c r="A163" s="5" t="str">
        <f>IFERROR(__xludf.DUMMYFUNCTION("LEFT(A162, 4) &amp; TEXT(VALUE(REGEXEXTRACT(A162, ""\d+"")) + 1, ""0000"")"),"PSI-0161")</f>
        <v>PSI-0161</v>
      </c>
      <c r="B163" s="3" t="s">
        <v>704</v>
      </c>
      <c r="C163" s="3" t="s">
        <v>839</v>
      </c>
      <c r="D163" s="2" t="str">
        <f t="shared" si="1"/>
        <v>TORPOR | M</v>
      </c>
      <c r="E163" s="3" t="s">
        <v>48</v>
      </c>
      <c r="F163" s="3" t="s">
        <v>27</v>
      </c>
      <c r="G163" s="3" t="s">
        <v>77</v>
      </c>
      <c r="H163" s="3" t="s">
        <v>33</v>
      </c>
      <c r="I163" s="3">
        <v>4.0</v>
      </c>
      <c r="J163" s="3" t="s">
        <v>23</v>
      </c>
      <c r="K163" s="3" t="s">
        <v>95</v>
      </c>
      <c r="L163" s="6" t="s">
        <v>35</v>
      </c>
      <c r="M163" s="3" t="s">
        <v>124</v>
      </c>
      <c r="N163" s="3" t="s">
        <v>128</v>
      </c>
      <c r="O163" s="3" t="s">
        <v>126</v>
      </c>
      <c r="P163" s="3" t="s">
        <v>840</v>
      </c>
      <c r="Q163" s="2"/>
      <c r="R163" s="2"/>
      <c r="S163" s="2"/>
      <c r="T163" s="2"/>
      <c r="U163" s="2"/>
      <c r="V163" s="2"/>
      <c r="W163" s="2"/>
      <c r="X163" s="2"/>
      <c r="Y163" s="2"/>
      <c r="Z163" s="2"/>
    </row>
    <row r="164">
      <c r="A164" s="5" t="str">
        <f>IFERROR(__xludf.DUMMYFUNCTION("LEFT(A163, 4) &amp; TEXT(VALUE(REGEXEXTRACT(A163, ""\d+"")) + 1, ""0000"")"),"PSI-0162")</f>
        <v>PSI-0162</v>
      </c>
      <c r="B164" s="3" t="s">
        <v>704</v>
      </c>
      <c r="C164" s="3" t="s">
        <v>839</v>
      </c>
      <c r="D164" s="2" t="str">
        <f t="shared" si="1"/>
        <v>TORPOR | M</v>
      </c>
      <c r="E164" s="3" t="s">
        <v>48</v>
      </c>
      <c r="F164" s="3" t="s">
        <v>28</v>
      </c>
      <c r="G164" s="3" t="s">
        <v>77</v>
      </c>
      <c r="H164" s="3" t="s">
        <v>33</v>
      </c>
      <c r="I164" s="3">
        <v>4.0</v>
      </c>
      <c r="J164" s="3" t="s">
        <v>23</v>
      </c>
      <c r="K164" s="3" t="s">
        <v>95</v>
      </c>
      <c r="L164" s="6" t="s">
        <v>70</v>
      </c>
      <c r="M164" s="3" t="s">
        <v>124</v>
      </c>
      <c r="N164" s="3" t="s">
        <v>130</v>
      </c>
      <c r="O164" s="3" t="s">
        <v>131</v>
      </c>
      <c r="P164" s="3" t="s">
        <v>840</v>
      </c>
      <c r="Q164" s="2"/>
      <c r="R164" s="2"/>
      <c r="S164" s="2"/>
      <c r="T164" s="2"/>
      <c r="U164" s="2"/>
      <c r="V164" s="2"/>
      <c r="W164" s="2"/>
      <c r="X164" s="2"/>
      <c r="Y164" s="2"/>
      <c r="Z164" s="2"/>
    </row>
    <row r="165">
      <c r="A165" s="5" t="str">
        <f>IFERROR(__xludf.DUMMYFUNCTION("LEFT(A164, 4) &amp; TEXT(VALUE(REGEXEXTRACT(A164, ""\d+"")) + 1, ""0000"")"),"PSI-0163")</f>
        <v>PSI-0163</v>
      </c>
      <c r="B165" s="3" t="s">
        <v>704</v>
      </c>
      <c r="C165" s="3" t="s">
        <v>839</v>
      </c>
      <c r="D165" s="2" t="str">
        <f t="shared" si="1"/>
        <v>TORPOR | M</v>
      </c>
      <c r="E165" s="3" t="s">
        <v>48</v>
      </c>
      <c r="F165" s="3" t="s">
        <v>29</v>
      </c>
      <c r="G165" s="3" t="s">
        <v>77</v>
      </c>
      <c r="H165" s="3" t="s">
        <v>33</v>
      </c>
      <c r="I165" s="3">
        <v>4.0</v>
      </c>
      <c r="J165" s="3" t="s">
        <v>23</v>
      </c>
      <c r="K165" s="3" t="s">
        <v>95</v>
      </c>
      <c r="L165" s="6" t="s">
        <v>72</v>
      </c>
      <c r="M165" s="3" t="s">
        <v>124</v>
      </c>
      <c r="N165" s="3" t="s">
        <v>133</v>
      </c>
      <c r="O165" s="3" t="s">
        <v>131</v>
      </c>
      <c r="P165" s="3" t="s">
        <v>840</v>
      </c>
      <c r="Q165" s="2"/>
      <c r="R165" s="2"/>
      <c r="S165" s="2"/>
      <c r="T165" s="2"/>
      <c r="U165" s="2"/>
      <c r="V165" s="2"/>
      <c r="W165" s="2"/>
      <c r="X165" s="2"/>
      <c r="Y165" s="2"/>
      <c r="Z165" s="2"/>
    </row>
    <row r="166">
      <c r="A166" s="5" t="str">
        <f>IFERROR(__xludf.DUMMYFUNCTION("LEFT(A165, 4) &amp; TEXT(VALUE(REGEXEXTRACT(A165, ""\d+"")) + 1, ""0000"")"),"PSI-0164")</f>
        <v>PSI-0164</v>
      </c>
      <c r="B166" s="3" t="s">
        <v>704</v>
      </c>
      <c r="C166" s="3" t="s">
        <v>839</v>
      </c>
      <c r="D166" s="2" t="str">
        <f t="shared" si="1"/>
        <v>TORPOR | M</v>
      </c>
      <c r="E166" s="3" t="s">
        <v>48</v>
      </c>
      <c r="F166" s="3" t="s">
        <v>30</v>
      </c>
      <c r="G166" s="3" t="s">
        <v>77</v>
      </c>
      <c r="H166" s="3" t="s">
        <v>33</v>
      </c>
      <c r="I166" s="3">
        <v>4.0</v>
      </c>
      <c r="J166" s="3" t="s">
        <v>23</v>
      </c>
      <c r="K166" s="3" t="s">
        <v>95</v>
      </c>
      <c r="L166" s="6" t="s">
        <v>39</v>
      </c>
      <c r="M166" s="3" t="s">
        <v>124</v>
      </c>
      <c r="N166" s="3" t="s">
        <v>133</v>
      </c>
      <c r="O166" s="3" t="s">
        <v>790</v>
      </c>
      <c r="P166" s="3" t="s">
        <v>840</v>
      </c>
      <c r="Q166" s="2"/>
      <c r="R166" s="2"/>
      <c r="S166" s="2"/>
      <c r="T166" s="2"/>
      <c r="U166" s="2"/>
      <c r="V166" s="2"/>
      <c r="W166" s="2"/>
      <c r="X166" s="2"/>
      <c r="Y166" s="2"/>
      <c r="Z166" s="2"/>
    </row>
    <row r="167">
      <c r="A167" s="5" t="str">
        <f>IFERROR(__xludf.DUMMYFUNCTION("LEFT(A166, 4) &amp; TEXT(VALUE(REGEXEXTRACT(A166, ""\d+"")) + 1, ""0000"")"),"PSI-0165")</f>
        <v>PSI-0165</v>
      </c>
      <c r="B167" s="3" t="s">
        <v>704</v>
      </c>
      <c r="C167" s="3" t="s">
        <v>841</v>
      </c>
      <c r="D167" s="2" t="str">
        <f t="shared" si="1"/>
        <v>TORPOR EM MASSA | D</v>
      </c>
      <c r="E167" s="3" t="s">
        <v>76</v>
      </c>
      <c r="F167" s="3" t="s">
        <v>21</v>
      </c>
      <c r="G167" s="3" t="s">
        <v>77</v>
      </c>
      <c r="H167" s="3" t="s">
        <v>842</v>
      </c>
      <c r="I167" s="3">
        <v>8.0</v>
      </c>
      <c r="J167" s="3" t="s">
        <v>126</v>
      </c>
      <c r="K167" s="3" t="s">
        <v>34</v>
      </c>
      <c r="L167" s="6" t="s">
        <v>65</v>
      </c>
      <c r="M167" s="3" t="s">
        <v>65</v>
      </c>
      <c r="N167" s="3" t="s">
        <v>125</v>
      </c>
      <c r="O167" s="3" t="s">
        <v>126</v>
      </c>
      <c r="P167" s="3" t="s">
        <v>843</v>
      </c>
      <c r="Q167" s="2"/>
      <c r="R167" s="2"/>
      <c r="S167" s="2"/>
      <c r="T167" s="2"/>
      <c r="U167" s="2"/>
      <c r="V167" s="2"/>
      <c r="W167" s="2"/>
      <c r="X167" s="2"/>
      <c r="Y167" s="2"/>
      <c r="Z167" s="2"/>
    </row>
    <row r="168">
      <c r="A168" s="5" t="str">
        <f>IFERROR(__xludf.DUMMYFUNCTION("LEFT(A167, 4) &amp; TEXT(VALUE(REGEXEXTRACT(A167, ""\d+"")) + 1, ""0000"")"),"PSI-0166")</f>
        <v>PSI-0166</v>
      </c>
      <c r="B168" s="3" t="s">
        <v>704</v>
      </c>
      <c r="C168" s="3" t="s">
        <v>841</v>
      </c>
      <c r="D168" s="2" t="str">
        <f t="shared" si="1"/>
        <v>TORPOR EM MASSA | D</v>
      </c>
      <c r="E168" s="3" t="s">
        <v>76</v>
      </c>
      <c r="F168" s="3" t="s">
        <v>27</v>
      </c>
      <c r="G168" s="3" t="s">
        <v>77</v>
      </c>
      <c r="H168" s="3" t="s">
        <v>842</v>
      </c>
      <c r="I168" s="3">
        <v>8.0</v>
      </c>
      <c r="J168" s="3" t="s">
        <v>126</v>
      </c>
      <c r="K168" s="3" t="s">
        <v>34</v>
      </c>
      <c r="L168" s="6" t="s">
        <v>35</v>
      </c>
      <c r="M168" s="3" t="s">
        <v>65</v>
      </c>
      <c r="N168" s="3" t="s">
        <v>333</v>
      </c>
      <c r="O168" s="3" t="s">
        <v>126</v>
      </c>
      <c r="P168" s="3" t="s">
        <v>843</v>
      </c>
      <c r="Q168" s="2"/>
      <c r="R168" s="2"/>
      <c r="S168" s="2"/>
      <c r="T168" s="2"/>
      <c r="U168" s="2"/>
      <c r="V168" s="2"/>
      <c r="W168" s="2"/>
      <c r="X168" s="2"/>
      <c r="Y168" s="2"/>
      <c r="Z168" s="2"/>
    </row>
    <row r="169">
      <c r="A169" s="5" t="str">
        <f>IFERROR(__xludf.DUMMYFUNCTION("LEFT(A168, 4) &amp; TEXT(VALUE(REGEXEXTRACT(A168, ""\d+"")) + 1, ""0000"")"),"PSI-0167")</f>
        <v>PSI-0167</v>
      </c>
      <c r="B169" s="3" t="s">
        <v>704</v>
      </c>
      <c r="C169" s="3" t="s">
        <v>841</v>
      </c>
      <c r="D169" s="2" t="str">
        <f t="shared" si="1"/>
        <v>TORPOR EM MASSA | D</v>
      </c>
      <c r="E169" s="3" t="s">
        <v>76</v>
      </c>
      <c r="F169" s="3" t="s">
        <v>28</v>
      </c>
      <c r="G169" s="3" t="s">
        <v>77</v>
      </c>
      <c r="H169" s="3" t="s">
        <v>842</v>
      </c>
      <c r="I169" s="3">
        <v>8.0</v>
      </c>
      <c r="J169" s="3" t="s">
        <v>50</v>
      </c>
      <c r="K169" s="3" t="s">
        <v>34</v>
      </c>
      <c r="L169" s="6" t="s">
        <v>70</v>
      </c>
      <c r="M169" s="3" t="s">
        <v>35</v>
      </c>
      <c r="N169" s="3" t="s">
        <v>335</v>
      </c>
      <c r="O169" s="3" t="s">
        <v>131</v>
      </c>
      <c r="P169" s="3" t="s">
        <v>843</v>
      </c>
      <c r="Q169" s="2"/>
      <c r="R169" s="2"/>
      <c r="S169" s="2"/>
      <c r="T169" s="2"/>
      <c r="U169" s="2"/>
      <c r="V169" s="2"/>
      <c r="W169" s="2"/>
      <c r="X169" s="2"/>
      <c r="Y169" s="2"/>
      <c r="Z169" s="2"/>
    </row>
    <row r="170">
      <c r="A170" s="5" t="str">
        <f>IFERROR(__xludf.DUMMYFUNCTION("LEFT(A169, 4) &amp; TEXT(VALUE(REGEXEXTRACT(A169, ""\d+"")) + 1, ""0000"")"),"PSI-0168")</f>
        <v>PSI-0168</v>
      </c>
      <c r="B170" s="3" t="s">
        <v>704</v>
      </c>
      <c r="C170" s="3" t="s">
        <v>841</v>
      </c>
      <c r="D170" s="2" t="str">
        <f t="shared" si="1"/>
        <v>TORPOR EM MASSA | D</v>
      </c>
      <c r="E170" s="3" t="s">
        <v>76</v>
      </c>
      <c r="F170" s="3" t="s">
        <v>29</v>
      </c>
      <c r="G170" s="3" t="s">
        <v>77</v>
      </c>
      <c r="H170" s="3" t="s">
        <v>842</v>
      </c>
      <c r="I170" s="3">
        <v>8.0</v>
      </c>
      <c r="J170" s="3" t="s">
        <v>50</v>
      </c>
      <c r="K170" s="3" t="s">
        <v>34</v>
      </c>
      <c r="L170" s="6" t="s">
        <v>72</v>
      </c>
      <c r="M170" s="3" t="s">
        <v>35</v>
      </c>
      <c r="N170" s="3" t="s">
        <v>337</v>
      </c>
      <c r="O170" s="3" t="s">
        <v>131</v>
      </c>
      <c r="P170" s="3" t="s">
        <v>843</v>
      </c>
      <c r="Q170" s="2"/>
      <c r="R170" s="2"/>
      <c r="S170" s="2"/>
      <c r="T170" s="2"/>
      <c r="U170" s="2"/>
      <c r="V170" s="2"/>
      <c r="W170" s="2"/>
      <c r="X170" s="2"/>
      <c r="Y170" s="2"/>
      <c r="Z170" s="2"/>
    </row>
    <row r="171">
      <c r="A171" s="5" t="str">
        <f>IFERROR(__xludf.DUMMYFUNCTION("LEFT(A170, 4) &amp; TEXT(VALUE(REGEXEXTRACT(A170, ""\d+"")) + 1, ""0000"")"),"PSI-0169")</f>
        <v>PSI-0169</v>
      </c>
      <c r="B171" s="3" t="s">
        <v>704</v>
      </c>
      <c r="C171" s="3" t="s">
        <v>841</v>
      </c>
      <c r="D171" s="2" t="str">
        <f t="shared" si="1"/>
        <v>TORPOR EM MASSA | D</v>
      </c>
      <c r="E171" s="3" t="s">
        <v>76</v>
      </c>
      <c r="F171" s="3" t="s">
        <v>30</v>
      </c>
      <c r="G171" s="3" t="s">
        <v>77</v>
      </c>
      <c r="H171" s="3" t="s">
        <v>842</v>
      </c>
      <c r="I171" s="3">
        <v>8.0</v>
      </c>
      <c r="J171" s="3" t="s">
        <v>23</v>
      </c>
      <c r="K171" s="3" t="s">
        <v>34</v>
      </c>
      <c r="L171" s="6" t="s">
        <v>39</v>
      </c>
      <c r="M171" s="3" t="s">
        <v>253</v>
      </c>
      <c r="N171" s="3" t="s">
        <v>339</v>
      </c>
      <c r="O171" s="3" t="s">
        <v>136</v>
      </c>
      <c r="P171" s="3" t="s">
        <v>843</v>
      </c>
      <c r="Q171" s="2"/>
      <c r="R171" s="2"/>
      <c r="S171" s="2"/>
      <c r="T171" s="2"/>
      <c r="U171" s="2"/>
      <c r="V171" s="2"/>
      <c r="W171" s="2"/>
      <c r="X171" s="2"/>
      <c r="Y171" s="2"/>
      <c r="Z171" s="2"/>
    </row>
    <row r="172">
      <c r="A172" s="5" t="str">
        <f>IFERROR(__xludf.DUMMYFUNCTION("LEFT(A171, 4) &amp; TEXT(VALUE(REGEXEXTRACT(A171, ""\d+"")) + 1, ""0000"")"),"PSI-0170")</f>
        <v>PSI-0170</v>
      </c>
      <c r="B172" s="3" t="s">
        <v>704</v>
      </c>
      <c r="C172" s="3" t="s">
        <v>844</v>
      </c>
      <c r="D172" s="2" t="str">
        <f t="shared" si="1"/>
        <v>BEBEDEIRA | D</v>
      </c>
      <c r="E172" s="3" t="s">
        <v>76</v>
      </c>
      <c r="F172" s="3" t="s">
        <v>21</v>
      </c>
      <c r="G172" s="3" t="s">
        <v>77</v>
      </c>
      <c r="H172" s="3" t="s">
        <v>725</v>
      </c>
      <c r="I172" s="3">
        <v>8.0</v>
      </c>
      <c r="J172" s="3" t="s">
        <v>131</v>
      </c>
      <c r="K172" s="3" t="s">
        <v>95</v>
      </c>
      <c r="L172" s="6" t="s">
        <v>65</v>
      </c>
      <c r="M172" s="3" t="s">
        <v>124</v>
      </c>
      <c r="N172" s="3" t="s">
        <v>629</v>
      </c>
      <c r="O172" s="3" t="s">
        <v>55</v>
      </c>
      <c r="P172" s="3" t="s">
        <v>845</v>
      </c>
      <c r="Q172" s="2"/>
      <c r="R172" s="2"/>
      <c r="S172" s="2"/>
      <c r="T172" s="2"/>
      <c r="U172" s="2"/>
      <c r="V172" s="2"/>
      <c r="W172" s="2"/>
      <c r="X172" s="2"/>
      <c r="Y172" s="2"/>
      <c r="Z172" s="2"/>
    </row>
    <row r="173">
      <c r="A173" s="5" t="str">
        <f>IFERROR(__xludf.DUMMYFUNCTION("LEFT(A172, 4) &amp; TEXT(VALUE(REGEXEXTRACT(A172, ""\d+"")) + 1, ""0000"")"),"PSI-0171")</f>
        <v>PSI-0171</v>
      </c>
      <c r="B173" s="3" t="s">
        <v>704</v>
      </c>
      <c r="C173" s="3" t="s">
        <v>844</v>
      </c>
      <c r="D173" s="2" t="str">
        <f t="shared" si="1"/>
        <v>BEBEDEIRA | D</v>
      </c>
      <c r="E173" s="3" t="s">
        <v>76</v>
      </c>
      <c r="F173" s="3" t="s">
        <v>27</v>
      </c>
      <c r="G173" s="3" t="s">
        <v>77</v>
      </c>
      <c r="H173" s="3" t="s">
        <v>725</v>
      </c>
      <c r="I173" s="3">
        <v>8.0</v>
      </c>
      <c r="J173" s="3" t="s">
        <v>131</v>
      </c>
      <c r="K173" s="3" t="s">
        <v>95</v>
      </c>
      <c r="L173" s="6" t="s">
        <v>35</v>
      </c>
      <c r="M173" s="3" t="s">
        <v>124</v>
      </c>
      <c r="N173" s="3" t="s">
        <v>631</v>
      </c>
      <c r="O173" s="3" t="s">
        <v>57</v>
      </c>
      <c r="P173" s="3" t="s">
        <v>845</v>
      </c>
      <c r="Q173" s="2"/>
      <c r="R173" s="2"/>
      <c r="S173" s="2"/>
      <c r="T173" s="2"/>
      <c r="U173" s="2"/>
      <c r="V173" s="2"/>
      <c r="W173" s="2"/>
      <c r="X173" s="2"/>
      <c r="Y173" s="2"/>
      <c r="Z173" s="2"/>
    </row>
    <row r="174">
      <c r="A174" s="5" t="str">
        <f>IFERROR(__xludf.DUMMYFUNCTION("LEFT(A173, 4) &amp; TEXT(VALUE(REGEXEXTRACT(A173, ""\d+"")) + 1, ""0000"")"),"PSI-0172")</f>
        <v>PSI-0172</v>
      </c>
      <c r="B174" s="3" t="s">
        <v>704</v>
      </c>
      <c r="C174" s="3" t="s">
        <v>844</v>
      </c>
      <c r="D174" s="2" t="str">
        <f t="shared" si="1"/>
        <v>BEBEDEIRA | D</v>
      </c>
      <c r="E174" s="3" t="s">
        <v>76</v>
      </c>
      <c r="F174" s="3" t="s">
        <v>28</v>
      </c>
      <c r="G174" s="3" t="s">
        <v>77</v>
      </c>
      <c r="H174" s="3" t="s">
        <v>725</v>
      </c>
      <c r="I174" s="3">
        <v>8.0</v>
      </c>
      <c r="J174" s="3" t="s">
        <v>126</v>
      </c>
      <c r="K174" s="3" t="s">
        <v>95</v>
      </c>
      <c r="L174" s="6" t="s">
        <v>70</v>
      </c>
      <c r="M174" s="3" t="s">
        <v>124</v>
      </c>
      <c r="N174" s="3" t="s">
        <v>632</v>
      </c>
      <c r="O174" s="3" t="s">
        <v>633</v>
      </c>
      <c r="P174" s="3" t="s">
        <v>845</v>
      </c>
      <c r="Q174" s="2"/>
      <c r="R174" s="2"/>
      <c r="S174" s="2"/>
      <c r="T174" s="2"/>
      <c r="U174" s="2"/>
      <c r="V174" s="2"/>
      <c r="W174" s="2"/>
      <c r="X174" s="2"/>
      <c r="Y174" s="2"/>
      <c r="Z174" s="2"/>
    </row>
    <row r="175">
      <c r="A175" s="5" t="str">
        <f>IFERROR(__xludf.DUMMYFUNCTION("LEFT(A174, 4) &amp; TEXT(VALUE(REGEXEXTRACT(A174, ""\d+"")) + 1, ""0000"")"),"PSI-0173")</f>
        <v>PSI-0173</v>
      </c>
      <c r="B175" s="3" t="s">
        <v>704</v>
      </c>
      <c r="C175" s="3" t="s">
        <v>844</v>
      </c>
      <c r="D175" s="2" t="str">
        <f t="shared" si="1"/>
        <v>BEBEDEIRA | D</v>
      </c>
      <c r="E175" s="3" t="s">
        <v>76</v>
      </c>
      <c r="F175" s="3" t="s">
        <v>29</v>
      </c>
      <c r="G175" s="3" t="s">
        <v>77</v>
      </c>
      <c r="H175" s="3" t="s">
        <v>725</v>
      </c>
      <c r="I175" s="3">
        <v>8.0</v>
      </c>
      <c r="J175" s="3" t="s">
        <v>126</v>
      </c>
      <c r="K175" s="3" t="s">
        <v>95</v>
      </c>
      <c r="L175" s="6" t="s">
        <v>72</v>
      </c>
      <c r="M175" s="3" t="s">
        <v>124</v>
      </c>
      <c r="N175" s="3" t="s">
        <v>634</v>
      </c>
      <c r="O175" s="3" t="s">
        <v>635</v>
      </c>
      <c r="P175" s="3" t="s">
        <v>845</v>
      </c>
      <c r="Q175" s="2"/>
      <c r="R175" s="2"/>
      <c r="S175" s="2"/>
      <c r="T175" s="2"/>
      <c r="U175" s="2"/>
      <c r="V175" s="2"/>
      <c r="W175" s="2"/>
      <c r="X175" s="2"/>
      <c r="Y175" s="2"/>
      <c r="Z175" s="2"/>
    </row>
    <row r="176">
      <c r="A176" s="5" t="str">
        <f>IFERROR(__xludf.DUMMYFUNCTION("LEFT(A175, 4) &amp; TEXT(VALUE(REGEXEXTRACT(A175, ""\d+"")) + 1, ""0000"")"),"PSI-0174")</f>
        <v>PSI-0174</v>
      </c>
      <c r="B176" s="3" t="s">
        <v>704</v>
      </c>
      <c r="C176" s="3" t="s">
        <v>844</v>
      </c>
      <c r="D176" s="2" t="str">
        <f t="shared" si="1"/>
        <v>BEBEDEIRA | D</v>
      </c>
      <c r="E176" s="3" t="s">
        <v>76</v>
      </c>
      <c r="F176" s="3" t="s">
        <v>30</v>
      </c>
      <c r="G176" s="3" t="s">
        <v>77</v>
      </c>
      <c r="H176" s="3" t="s">
        <v>725</v>
      </c>
      <c r="I176" s="3">
        <v>8.0</v>
      </c>
      <c r="J176" s="3" t="s">
        <v>50</v>
      </c>
      <c r="K176" s="3" t="s">
        <v>95</v>
      </c>
      <c r="L176" s="6" t="s">
        <v>39</v>
      </c>
      <c r="M176" s="3" t="s">
        <v>124</v>
      </c>
      <c r="N176" s="3" t="s">
        <v>636</v>
      </c>
      <c r="O176" s="3" t="s">
        <v>59</v>
      </c>
      <c r="P176" s="3" t="s">
        <v>845</v>
      </c>
      <c r="Q176" s="2"/>
      <c r="R176" s="2"/>
      <c r="S176" s="2"/>
      <c r="T176" s="2"/>
      <c r="U176" s="2"/>
      <c r="V176" s="2"/>
      <c r="W176" s="2"/>
      <c r="X176" s="2"/>
      <c r="Y176" s="2"/>
      <c r="Z176" s="2"/>
    </row>
    <row r="177">
      <c r="A177" s="5" t="str">
        <f>IFERROR(__xludf.DUMMYFUNCTION("LEFT(A176, 4) &amp; TEXT(VALUE(REGEXEXTRACT(A176, ""\d+"")) + 1, ""0000"")"),"PSI-0175")</f>
        <v>PSI-0175</v>
      </c>
      <c r="B177" s="3" t="s">
        <v>704</v>
      </c>
      <c r="C177" s="3" t="s">
        <v>846</v>
      </c>
      <c r="D177" s="2" t="str">
        <f t="shared" si="1"/>
        <v>ADOEÇER | D</v>
      </c>
      <c r="E177" s="3" t="s">
        <v>76</v>
      </c>
      <c r="F177" s="3" t="s">
        <v>21</v>
      </c>
      <c r="G177" s="3" t="s">
        <v>77</v>
      </c>
      <c r="H177" s="3" t="s">
        <v>725</v>
      </c>
      <c r="I177" s="3">
        <v>8.0</v>
      </c>
      <c r="J177" s="3" t="s">
        <v>131</v>
      </c>
      <c r="K177" s="3" t="s">
        <v>95</v>
      </c>
      <c r="L177" s="6" t="s">
        <v>65</v>
      </c>
      <c r="M177" s="3" t="s">
        <v>124</v>
      </c>
      <c r="N177" s="3" t="s">
        <v>629</v>
      </c>
      <c r="O177" s="3" t="s">
        <v>55</v>
      </c>
      <c r="P177" s="3" t="s">
        <v>845</v>
      </c>
      <c r="Q177" s="2"/>
      <c r="R177" s="2"/>
      <c r="S177" s="2"/>
      <c r="T177" s="2"/>
      <c r="U177" s="2"/>
      <c r="V177" s="2"/>
      <c r="W177" s="2"/>
      <c r="X177" s="2"/>
      <c r="Y177" s="2"/>
      <c r="Z177" s="2"/>
    </row>
    <row r="178">
      <c r="A178" s="5" t="str">
        <f>IFERROR(__xludf.DUMMYFUNCTION("LEFT(A177, 4) &amp; TEXT(VALUE(REGEXEXTRACT(A177, ""\d+"")) + 1, ""0000"")"),"PSI-0176")</f>
        <v>PSI-0176</v>
      </c>
      <c r="B178" s="3" t="s">
        <v>704</v>
      </c>
      <c r="C178" s="3" t="s">
        <v>846</v>
      </c>
      <c r="D178" s="2" t="str">
        <f t="shared" si="1"/>
        <v>ADOEÇER | D</v>
      </c>
      <c r="E178" s="3" t="s">
        <v>76</v>
      </c>
      <c r="F178" s="3" t="s">
        <v>27</v>
      </c>
      <c r="G178" s="3" t="s">
        <v>77</v>
      </c>
      <c r="H178" s="3" t="s">
        <v>725</v>
      </c>
      <c r="I178" s="3">
        <v>8.0</v>
      </c>
      <c r="J178" s="3" t="s">
        <v>131</v>
      </c>
      <c r="K178" s="3" t="s">
        <v>95</v>
      </c>
      <c r="L178" s="6" t="s">
        <v>35</v>
      </c>
      <c r="M178" s="3" t="s">
        <v>124</v>
      </c>
      <c r="N178" s="3" t="s">
        <v>631</v>
      </c>
      <c r="O178" s="3" t="s">
        <v>57</v>
      </c>
      <c r="P178" s="3" t="s">
        <v>845</v>
      </c>
      <c r="Q178" s="2"/>
      <c r="R178" s="2"/>
      <c r="S178" s="2"/>
      <c r="T178" s="2"/>
      <c r="U178" s="2"/>
      <c r="V178" s="2"/>
      <c r="W178" s="2"/>
      <c r="X178" s="2"/>
      <c r="Y178" s="2"/>
      <c r="Z178" s="2"/>
    </row>
    <row r="179">
      <c r="A179" s="5" t="str">
        <f>IFERROR(__xludf.DUMMYFUNCTION("LEFT(A178, 4) &amp; TEXT(VALUE(REGEXEXTRACT(A178, ""\d+"")) + 1, ""0000"")"),"PSI-0177")</f>
        <v>PSI-0177</v>
      </c>
      <c r="B179" s="3" t="s">
        <v>704</v>
      </c>
      <c r="C179" s="3" t="s">
        <v>846</v>
      </c>
      <c r="D179" s="2" t="str">
        <f t="shared" si="1"/>
        <v>ADOEÇER | D</v>
      </c>
      <c r="E179" s="3" t="s">
        <v>76</v>
      </c>
      <c r="F179" s="3" t="s">
        <v>28</v>
      </c>
      <c r="G179" s="3" t="s">
        <v>77</v>
      </c>
      <c r="H179" s="3" t="s">
        <v>725</v>
      </c>
      <c r="I179" s="3">
        <v>8.0</v>
      </c>
      <c r="J179" s="3" t="s">
        <v>126</v>
      </c>
      <c r="K179" s="3" t="s">
        <v>95</v>
      </c>
      <c r="L179" s="6" t="s">
        <v>70</v>
      </c>
      <c r="M179" s="3" t="s">
        <v>124</v>
      </c>
      <c r="N179" s="3" t="s">
        <v>632</v>
      </c>
      <c r="O179" s="3" t="s">
        <v>633</v>
      </c>
      <c r="P179" s="3" t="s">
        <v>845</v>
      </c>
      <c r="Q179" s="2"/>
      <c r="R179" s="2"/>
      <c r="S179" s="2"/>
      <c r="T179" s="2"/>
      <c r="U179" s="2"/>
      <c r="V179" s="2"/>
      <c r="W179" s="2"/>
      <c r="X179" s="2"/>
      <c r="Y179" s="2"/>
      <c r="Z179" s="2"/>
    </row>
    <row r="180">
      <c r="A180" s="5" t="str">
        <f>IFERROR(__xludf.DUMMYFUNCTION("LEFT(A179, 4) &amp; TEXT(VALUE(REGEXEXTRACT(A179, ""\d+"")) + 1, ""0000"")"),"PSI-0178")</f>
        <v>PSI-0178</v>
      </c>
      <c r="B180" s="3" t="s">
        <v>704</v>
      </c>
      <c r="C180" s="3" t="s">
        <v>846</v>
      </c>
      <c r="D180" s="2" t="str">
        <f t="shared" si="1"/>
        <v>ADOEÇER | D</v>
      </c>
      <c r="E180" s="3" t="s">
        <v>76</v>
      </c>
      <c r="F180" s="3" t="s">
        <v>29</v>
      </c>
      <c r="G180" s="3" t="s">
        <v>77</v>
      </c>
      <c r="H180" s="3" t="s">
        <v>725</v>
      </c>
      <c r="I180" s="3">
        <v>8.0</v>
      </c>
      <c r="J180" s="3" t="s">
        <v>126</v>
      </c>
      <c r="K180" s="3" t="s">
        <v>95</v>
      </c>
      <c r="L180" s="6" t="s">
        <v>72</v>
      </c>
      <c r="M180" s="3" t="s">
        <v>124</v>
      </c>
      <c r="N180" s="3" t="s">
        <v>634</v>
      </c>
      <c r="O180" s="3" t="s">
        <v>635</v>
      </c>
      <c r="P180" s="3" t="s">
        <v>845</v>
      </c>
      <c r="Q180" s="2"/>
      <c r="R180" s="2"/>
      <c r="S180" s="2"/>
      <c r="T180" s="2"/>
      <c r="U180" s="2"/>
      <c r="V180" s="2"/>
      <c r="W180" s="2"/>
      <c r="X180" s="2"/>
      <c r="Y180" s="2"/>
      <c r="Z180" s="2"/>
    </row>
    <row r="181">
      <c r="A181" s="5" t="str">
        <f>IFERROR(__xludf.DUMMYFUNCTION("LEFT(A180, 4) &amp; TEXT(VALUE(REGEXEXTRACT(A180, ""\d+"")) + 1, ""0000"")"),"PSI-0179")</f>
        <v>PSI-0179</v>
      </c>
      <c r="B181" s="3" t="s">
        <v>704</v>
      </c>
      <c r="C181" s="3" t="s">
        <v>846</v>
      </c>
      <c r="D181" s="2" t="str">
        <f t="shared" si="1"/>
        <v>ADOEÇER | D</v>
      </c>
      <c r="E181" s="3" t="s">
        <v>76</v>
      </c>
      <c r="F181" s="3" t="s">
        <v>30</v>
      </c>
      <c r="G181" s="3" t="s">
        <v>77</v>
      </c>
      <c r="H181" s="3" t="s">
        <v>725</v>
      </c>
      <c r="I181" s="3">
        <v>8.0</v>
      </c>
      <c r="J181" s="3" t="s">
        <v>50</v>
      </c>
      <c r="K181" s="3" t="s">
        <v>95</v>
      </c>
      <c r="L181" s="6" t="s">
        <v>39</v>
      </c>
      <c r="M181" s="3" t="s">
        <v>124</v>
      </c>
      <c r="N181" s="3" t="s">
        <v>636</v>
      </c>
      <c r="O181" s="3" t="s">
        <v>59</v>
      </c>
      <c r="P181" s="3" t="s">
        <v>845</v>
      </c>
      <c r="Q181" s="2"/>
      <c r="R181" s="2"/>
      <c r="S181" s="2"/>
      <c r="T181" s="2"/>
      <c r="U181" s="2"/>
      <c r="V181" s="2"/>
      <c r="W181" s="2"/>
      <c r="X181" s="2"/>
      <c r="Y181" s="2"/>
      <c r="Z181" s="2"/>
    </row>
    <row r="182">
      <c r="A182" s="5" t="str">
        <f>IFERROR(__xludf.DUMMYFUNCTION("LEFT(A181, 4) &amp; TEXT(VALUE(REGEXEXTRACT(A181, ""\d+"")) + 1, ""0000"")"),"PSI-0180")</f>
        <v>PSI-0180</v>
      </c>
      <c r="B182" s="3" t="s">
        <v>704</v>
      </c>
      <c r="C182" s="3" t="s">
        <v>847</v>
      </c>
      <c r="D182" s="2" t="str">
        <f t="shared" si="1"/>
        <v>DESORIENTAR | M</v>
      </c>
      <c r="E182" s="3" t="s">
        <v>48</v>
      </c>
      <c r="F182" s="3" t="s">
        <v>21</v>
      </c>
      <c r="G182" s="3" t="s">
        <v>77</v>
      </c>
      <c r="H182" s="3" t="s">
        <v>725</v>
      </c>
      <c r="I182" s="3">
        <v>4.0</v>
      </c>
      <c r="J182" s="3" t="s">
        <v>131</v>
      </c>
      <c r="K182" s="3" t="s">
        <v>95</v>
      </c>
      <c r="L182" s="6" t="s">
        <v>65</v>
      </c>
      <c r="M182" s="3" t="s">
        <v>124</v>
      </c>
      <c r="N182" s="3" t="s">
        <v>629</v>
      </c>
      <c r="O182" s="3" t="s">
        <v>55</v>
      </c>
      <c r="P182" s="3" t="s">
        <v>848</v>
      </c>
      <c r="Q182" s="3" t="s">
        <v>849</v>
      </c>
      <c r="R182" s="2"/>
      <c r="S182" s="2"/>
      <c r="T182" s="2"/>
      <c r="U182" s="2"/>
      <c r="V182" s="2"/>
      <c r="W182" s="2"/>
      <c r="X182" s="2"/>
      <c r="Y182" s="2"/>
      <c r="Z182" s="2"/>
    </row>
    <row r="183">
      <c r="A183" s="5" t="str">
        <f>IFERROR(__xludf.DUMMYFUNCTION("LEFT(A182, 4) &amp; TEXT(VALUE(REGEXEXTRACT(A182, ""\d+"")) + 1, ""0000"")"),"PSI-0181")</f>
        <v>PSI-0181</v>
      </c>
      <c r="B183" s="3" t="s">
        <v>704</v>
      </c>
      <c r="C183" s="3" t="s">
        <v>847</v>
      </c>
      <c r="D183" s="2" t="str">
        <f t="shared" si="1"/>
        <v>DESORIENTAR | M</v>
      </c>
      <c r="E183" s="3" t="s">
        <v>48</v>
      </c>
      <c r="F183" s="3" t="s">
        <v>27</v>
      </c>
      <c r="G183" s="3" t="s">
        <v>77</v>
      </c>
      <c r="H183" s="3" t="s">
        <v>725</v>
      </c>
      <c r="I183" s="3">
        <v>4.0</v>
      </c>
      <c r="J183" s="3" t="s">
        <v>131</v>
      </c>
      <c r="K183" s="3" t="s">
        <v>95</v>
      </c>
      <c r="L183" s="6" t="s">
        <v>35</v>
      </c>
      <c r="M183" s="3" t="s">
        <v>124</v>
      </c>
      <c r="N183" s="3" t="s">
        <v>631</v>
      </c>
      <c r="O183" s="3" t="s">
        <v>57</v>
      </c>
      <c r="P183" s="3" t="s">
        <v>848</v>
      </c>
      <c r="Q183" s="3" t="s">
        <v>849</v>
      </c>
      <c r="R183" s="2"/>
      <c r="S183" s="2"/>
      <c r="T183" s="2"/>
      <c r="U183" s="2"/>
      <c r="V183" s="2"/>
      <c r="W183" s="2"/>
      <c r="X183" s="2"/>
      <c r="Y183" s="2"/>
      <c r="Z183" s="2"/>
    </row>
    <row r="184">
      <c r="A184" s="5" t="str">
        <f>IFERROR(__xludf.DUMMYFUNCTION("LEFT(A183, 4) &amp; TEXT(VALUE(REGEXEXTRACT(A183, ""\d+"")) + 1, ""0000"")"),"PSI-0182")</f>
        <v>PSI-0182</v>
      </c>
      <c r="B184" s="3" t="s">
        <v>704</v>
      </c>
      <c r="C184" s="3" t="s">
        <v>847</v>
      </c>
      <c r="D184" s="2" t="str">
        <f t="shared" si="1"/>
        <v>DESORIENTAR | M</v>
      </c>
      <c r="E184" s="3" t="s">
        <v>48</v>
      </c>
      <c r="F184" s="3" t="s">
        <v>28</v>
      </c>
      <c r="G184" s="3" t="s">
        <v>77</v>
      </c>
      <c r="H184" s="3" t="s">
        <v>725</v>
      </c>
      <c r="I184" s="3">
        <v>4.0</v>
      </c>
      <c r="J184" s="3" t="s">
        <v>126</v>
      </c>
      <c r="K184" s="3" t="s">
        <v>95</v>
      </c>
      <c r="L184" s="6" t="s">
        <v>70</v>
      </c>
      <c r="M184" s="3" t="s">
        <v>124</v>
      </c>
      <c r="N184" s="3" t="s">
        <v>632</v>
      </c>
      <c r="O184" s="3" t="s">
        <v>633</v>
      </c>
      <c r="P184" s="3" t="s">
        <v>848</v>
      </c>
      <c r="Q184" s="3" t="s">
        <v>849</v>
      </c>
      <c r="R184" s="2"/>
      <c r="S184" s="2"/>
      <c r="T184" s="2"/>
      <c r="U184" s="2"/>
      <c r="V184" s="2"/>
      <c r="W184" s="2"/>
      <c r="X184" s="2"/>
      <c r="Y184" s="2"/>
      <c r="Z184" s="2"/>
    </row>
    <row r="185">
      <c r="A185" s="5" t="str">
        <f>IFERROR(__xludf.DUMMYFUNCTION("LEFT(A184, 4) &amp; TEXT(VALUE(REGEXEXTRACT(A184, ""\d+"")) + 1, ""0000"")"),"PSI-0183")</f>
        <v>PSI-0183</v>
      </c>
      <c r="B185" s="3" t="s">
        <v>704</v>
      </c>
      <c r="C185" s="3" t="s">
        <v>847</v>
      </c>
      <c r="D185" s="2" t="str">
        <f t="shared" si="1"/>
        <v>DESORIENTAR | M</v>
      </c>
      <c r="E185" s="3" t="s">
        <v>48</v>
      </c>
      <c r="F185" s="3" t="s">
        <v>29</v>
      </c>
      <c r="G185" s="3" t="s">
        <v>77</v>
      </c>
      <c r="H185" s="3" t="s">
        <v>725</v>
      </c>
      <c r="I185" s="3">
        <v>4.0</v>
      </c>
      <c r="J185" s="3" t="s">
        <v>126</v>
      </c>
      <c r="K185" s="3" t="s">
        <v>95</v>
      </c>
      <c r="L185" s="6" t="s">
        <v>72</v>
      </c>
      <c r="M185" s="3" t="s">
        <v>124</v>
      </c>
      <c r="N185" s="3" t="s">
        <v>634</v>
      </c>
      <c r="O185" s="3" t="s">
        <v>635</v>
      </c>
      <c r="P185" s="3" t="s">
        <v>848</v>
      </c>
      <c r="Q185" s="3" t="s">
        <v>849</v>
      </c>
      <c r="R185" s="2"/>
      <c r="S185" s="2"/>
      <c r="T185" s="2"/>
      <c r="U185" s="2"/>
      <c r="V185" s="2"/>
      <c r="W185" s="2"/>
      <c r="X185" s="2"/>
      <c r="Y185" s="2"/>
      <c r="Z185" s="2"/>
    </row>
    <row r="186">
      <c r="A186" s="5" t="str">
        <f>IFERROR(__xludf.DUMMYFUNCTION("LEFT(A185, 4) &amp; TEXT(VALUE(REGEXEXTRACT(A185, ""\d+"")) + 1, ""0000"")"),"PSI-0184")</f>
        <v>PSI-0184</v>
      </c>
      <c r="B186" s="3" t="s">
        <v>704</v>
      </c>
      <c r="C186" s="3" t="s">
        <v>847</v>
      </c>
      <c r="D186" s="2" t="str">
        <f t="shared" si="1"/>
        <v>DESORIENTAR | M</v>
      </c>
      <c r="E186" s="3" t="s">
        <v>48</v>
      </c>
      <c r="F186" s="3" t="s">
        <v>30</v>
      </c>
      <c r="G186" s="3" t="s">
        <v>77</v>
      </c>
      <c r="H186" s="3" t="s">
        <v>725</v>
      </c>
      <c r="I186" s="3">
        <v>4.0</v>
      </c>
      <c r="J186" s="3" t="s">
        <v>50</v>
      </c>
      <c r="K186" s="3" t="s">
        <v>95</v>
      </c>
      <c r="L186" s="6" t="s">
        <v>39</v>
      </c>
      <c r="M186" s="3" t="s">
        <v>124</v>
      </c>
      <c r="N186" s="3" t="s">
        <v>636</v>
      </c>
      <c r="O186" s="3" t="s">
        <v>59</v>
      </c>
      <c r="P186" s="3" t="s">
        <v>848</v>
      </c>
      <c r="Q186" s="3" t="s">
        <v>849</v>
      </c>
      <c r="R186" s="2"/>
      <c r="S186" s="2"/>
      <c r="T186" s="2"/>
      <c r="U186" s="2"/>
      <c r="V186" s="2"/>
      <c r="W186" s="2"/>
      <c r="X186" s="2"/>
      <c r="Y186" s="2"/>
      <c r="Z186" s="2"/>
    </row>
    <row r="187">
      <c r="A187" s="5" t="str">
        <f>IFERROR(__xludf.DUMMYFUNCTION("LEFT(A186, 4) &amp; TEXT(VALUE(REGEXEXTRACT(A186, ""\d+"")) + 1, ""0000"")"),"PSI-0185")</f>
        <v>PSI-0185</v>
      </c>
      <c r="B187" s="3" t="s">
        <v>704</v>
      </c>
      <c r="C187" s="3" t="s">
        <v>850</v>
      </c>
      <c r="D187" s="2" t="str">
        <f t="shared" si="1"/>
        <v>CONTROLE EMOCIONAL | M</v>
      </c>
      <c r="E187" s="3" t="s">
        <v>48</v>
      </c>
      <c r="F187" s="3" t="s">
        <v>21</v>
      </c>
      <c r="G187" s="3" t="s">
        <v>329</v>
      </c>
      <c r="H187" s="3" t="s">
        <v>725</v>
      </c>
      <c r="I187" s="3">
        <v>4.0</v>
      </c>
      <c r="J187" s="3" t="s">
        <v>23</v>
      </c>
      <c r="K187" s="3" t="s">
        <v>95</v>
      </c>
      <c r="L187" s="6" t="s">
        <v>65</v>
      </c>
      <c r="M187" s="3" t="s">
        <v>124</v>
      </c>
      <c r="N187" s="3" t="s">
        <v>125</v>
      </c>
      <c r="O187" s="3" t="s">
        <v>126</v>
      </c>
      <c r="P187" s="3" t="s">
        <v>851</v>
      </c>
      <c r="Q187" s="2"/>
      <c r="R187" s="2"/>
      <c r="S187" s="2"/>
      <c r="T187" s="2"/>
      <c r="U187" s="2"/>
      <c r="V187" s="2"/>
      <c r="W187" s="2"/>
      <c r="X187" s="2"/>
      <c r="Y187" s="2"/>
      <c r="Z187" s="2"/>
    </row>
    <row r="188">
      <c r="A188" s="5" t="str">
        <f>IFERROR(__xludf.DUMMYFUNCTION("LEFT(A187, 4) &amp; TEXT(VALUE(REGEXEXTRACT(A187, ""\d+"")) + 1, ""0000"")"),"PSI-0186")</f>
        <v>PSI-0186</v>
      </c>
      <c r="B188" s="3" t="s">
        <v>704</v>
      </c>
      <c r="C188" s="3" t="s">
        <v>850</v>
      </c>
      <c r="D188" s="2" t="str">
        <f t="shared" si="1"/>
        <v>CONTROLE EMOCIONAL | M</v>
      </c>
      <c r="E188" s="3" t="s">
        <v>48</v>
      </c>
      <c r="F188" s="3" t="s">
        <v>27</v>
      </c>
      <c r="G188" s="3" t="s">
        <v>329</v>
      </c>
      <c r="H188" s="3" t="s">
        <v>725</v>
      </c>
      <c r="I188" s="3">
        <v>4.0</v>
      </c>
      <c r="J188" s="3" t="s">
        <v>23</v>
      </c>
      <c r="K188" s="3" t="s">
        <v>95</v>
      </c>
      <c r="L188" s="6" t="s">
        <v>35</v>
      </c>
      <c r="M188" s="3" t="s">
        <v>124</v>
      </c>
      <c r="N188" s="3" t="s">
        <v>128</v>
      </c>
      <c r="O188" s="3" t="s">
        <v>126</v>
      </c>
      <c r="P188" s="3" t="s">
        <v>851</v>
      </c>
      <c r="Q188" s="2"/>
      <c r="R188" s="2"/>
      <c r="S188" s="2"/>
      <c r="T188" s="2"/>
      <c r="U188" s="2"/>
      <c r="V188" s="2"/>
      <c r="W188" s="2"/>
      <c r="X188" s="2"/>
      <c r="Y188" s="2"/>
      <c r="Z188" s="2"/>
    </row>
    <row r="189">
      <c r="A189" s="5" t="str">
        <f>IFERROR(__xludf.DUMMYFUNCTION("LEFT(A188, 4) &amp; TEXT(VALUE(REGEXEXTRACT(A188, ""\d+"")) + 1, ""0000"")"),"PSI-0187")</f>
        <v>PSI-0187</v>
      </c>
      <c r="B189" s="3" t="s">
        <v>704</v>
      </c>
      <c r="C189" s="3" t="s">
        <v>850</v>
      </c>
      <c r="D189" s="2" t="str">
        <f t="shared" si="1"/>
        <v>CONTROLE EMOCIONAL | M</v>
      </c>
      <c r="E189" s="3" t="s">
        <v>48</v>
      </c>
      <c r="F189" s="3" t="s">
        <v>28</v>
      </c>
      <c r="G189" s="3" t="s">
        <v>329</v>
      </c>
      <c r="H189" s="3" t="s">
        <v>725</v>
      </c>
      <c r="I189" s="3">
        <v>4.0</v>
      </c>
      <c r="J189" s="3" t="s">
        <v>23</v>
      </c>
      <c r="K189" s="3" t="s">
        <v>95</v>
      </c>
      <c r="L189" s="6" t="s">
        <v>70</v>
      </c>
      <c r="M189" s="3" t="s">
        <v>124</v>
      </c>
      <c r="N189" s="3" t="s">
        <v>130</v>
      </c>
      <c r="O189" s="3" t="s">
        <v>131</v>
      </c>
      <c r="P189" s="3" t="s">
        <v>851</v>
      </c>
      <c r="Q189" s="2"/>
      <c r="R189" s="2"/>
      <c r="S189" s="2"/>
      <c r="T189" s="2"/>
      <c r="U189" s="2"/>
      <c r="V189" s="2"/>
      <c r="W189" s="2"/>
      <c r="X189" s="2"/>
      <c r="Y189" s="2"/>
      <c r="Z189" s="2"/>
    </row>
    <row r="190">
      <c r="A190" s="5" t="str">
        <f>IFERROR(__xludf.DUMMYFUNCTION("LEFT(A189, 4) &amp; TEXT(VALUE(REGEXEXTRACT(A189, ""\d+"")) + 1, ""0000"")"),"PSI-0188")</f>
        <v>PSI-0188</v>
      </c>
      <c r="B190" s="3" t="s">
        <v>704</v>
      </c>
      <c r="C190" s="3" t="s">
        <v>850</v>
      </c>
      <c r="D190" s="2" t="str">
        <f t="shared" si="1"/>
        <v>CONTROLE EMOCIONAL | M</v>
      </c>
      <c r="E190" s="3" t="s">
        <v>48</v>
      </c>
      <c r="F190" s="3" t="s">
        <v>29</v>
      </c>
      <c r="G190" s="3" t="s">
        <v>329</v>
      </c>
      <c r="H190" s="3" t="s">
        <v>725</v>
      </c>
      <c r="I190" s="3">
        <v>4.0</v>
      </c>
      <c r="J190" s="3" t="s">
        <v>23</v>
      </c>
      <c r="K190" s="3" t="s">
        <v>95</v>
      </c>
      <c r="L190" s="6" t="s">
        <v>72</v>
      </c>
      <c r="M190" s="3" t="s">
        <v>124</v>
      </c>
      <c r="N190" s="3" t="s">
        <v>133</v>
      </c>
      <c r="O190" s="3" t="s">
        <v>131</v>
      </c>
      <c r="P190" s="3" t="s">
        <v>851</v>
      </c>
      <c r="Q190" s="2"/>
      <c r="R190" s="2"/>
      <c r="S190" s="2"/>
      <c r="T190" s="2"/>
      <c r="U190" s="2"/>
      <c r="V190" s="2"/>
      <c r="W190" s="2"/>
      <c r="X190" s="2"/>
      <c r="Y190" s="2"/>
      <c r="Z190" s="2"/>
    </row>
    <row r="191">
      <c r="A191" s="5" t="str">
        <f>IFERROR(__xludf.DUMMYFUNCTION("LEFT(A190, 4) &amp; TEXT(VALUE(REGEXEXTRACT(A190, ""\d+"")) + 1, ""0000"")"),"PSI-0189")</f>
        <v>PSI-0189</v>
      </c>
      <c r="B191" s="3" t="s">
        <v>704</v>
      </c>
      <c r="C191" s="3" t="s">
        <v>850</v>
      </c>
      <c r="D191" s="2" t="str">
        <f t="shared" si="1"/>
        <v>CONTROLE EMOCIONAL | M</v>
      </c>
      <c r="E191" s="3" t="s">
        <v>48</v>
      </c>
      <c r="F191" s="3" t="s">
        <v>30</v>
      </c>
      <c r="G191" s="3" t="s">
        <v>329</v>
      </c>
      <c r="H191" s="3" t="s">
        <v>725</v>
      </c>
      <c r="I191" s="3">
        <v>4.0</v>
      </c>
      <c r="J191" s="3" t="s">
        <v>23</v>
      </c>
      <c r="K191" s="3" t="s">
        <v>95</v>
      </c>
      <c r="L191" s="6" t="s">
        <v>39</v>
      </c>
      <c r="M191" s="3" t="s">
        <v>124</v>
      </c>
      <c r="N191" s="3" t="s">
        <v>133</v>
      </c>
      <c r="O191" s="3" t="s">
        <v>790</v>
      </c>
      <c r="P191" s="3" t="s">
        <v>851</v>
      </c>
      <c r="Q191" s="2"/>
      <c r="R191" s="2"/>
      <c r="S191" s="2"/>
      <c r="T191" s="2"/>
      <c r="U191" s="2"/>
      <c r="V191" s="2"/>
      <c r="W191" s="2"/>
      <c r="X191" s="2"/>
      <c r="Y191" s="2"/>
      <c r="Z191" s="2"/>
    </row>
    <row r="192">
      <c r="A192" s="5" t="str">
        <f>IFERROR(__xludf.DUMMYFUNCTION("LEFT(A191, 4) &amp; TEXT(VALUE(REGEXEXTRACT(A191, ""\d+"")) + 1, ""0000"")"),"PSI-0190")</f>
        <v>PSI-0190</v>
      </c>
      <c r="B192" s="3" t="s">
        <v>704</v>
      </c>
      <c r="C192" s="3" t="s">
        <v>852</v>
      </c>
      <c r="D192" s="2" t="str">
        <f t="shared" si="1"/>
        <v>OBRIGAÇÃO | D</v>
      </c>
      <c r="E192" s="3" t="s">
        <v>76</v>
      </c>
      <c r="F192" s="3" t="s">
        <v>21</v>
      </c>
      <c r="G192" s="3" t="s">
        <v>329</v>
      </c>
      <c r="H192" s="3" t="s">
        <v>33</v>
      </c>
      <c r="I192" s="3">
        <v>8.0</v>
      </c>
      <c r="J192" s="3" t="s">
        <v>131</v>
      </c>
      <c r="K192" s="3" t="s">
        <v>95</v>
      </c>
      <c r="L192" s="3" t="s">
        <v>195</v>
      </c>
      <c r="M192" s="3" t="s">
        <v>124</v>
      </c>
      <c r="N192" s="3"/>
      <c r="O192" s="3" t="s">
        <v>853</v>
      </c>
      <c r="P192" s="3" t="s">
        <v>854</v>
      </c>
      <c r="Q192" s="3" t="s">
        <v>855</v>
      </c>
      <c r="R192" s="2"/>
      <c r="S192" s="2"/>
      <c r="T192" s="2"/>
      <c r="U192" s="2"/>
      <c r="V192" s="2"/>
      <c r="W192" s="2"/>
      <c r="X192" s="2"/>
      <c r="Y192" s="2"/>
      <c r="Z192" s="2"/>
    </row>
    <row r="193">
      <c r="A193" s="5" t="str">
        <f>IFERROR(__xludf.DUMMYFUNCTION("LEFT(A192, 4) &amp; TEXT(VALUE(REGEXEXTRACT(A192, ""\d+"")) + 1, ""0000"")"),"PSI-0191")</f>
        <v>PSI-0191</v>
      </c>
      <c r="B193" s="3" t="s">
        <v>704</v>
      </c>
      <c r="C193" s="3" t="s">
        <v>852</v>
      </c>
      <c r="D193" s="2" t="str">
        <f t="shared" si="1"/>
        <v>OBRIGAÇÃO | D</v>
      </c>
      <c r="E193" s="3" t="s">
        <v>76</v>
      </c>
      <c r="F193" s="3" t="s">
        <v>27</v>
      </c>
      <c r="G193" s="3" t="s">
        <v>329</v>
      </c>
      <c r="H193" s="3" t="s">
        <v>33</v>
      </c>
      <c r="I193" s="3">
        <v>8.0</v>
      </c>
      <c r="J193" s="3" t="s">
        <v>131</v>
      </c>
      <c r="K193" s="3" t="s">
        <v>95</v>
      </c>
      <c r="L193" s="3" t="s">
        <v>195</v>
      </c>
      <c r="M193" s="3" t="s">
        <v>821</v>
      </c>
      <c r="N193" s="3"/>
      <c r="O193" s="3" t="s">
        <v>853</v>
      </c>
      <c r="P193" s="3" t="s">
        <v>854</v>
      </c>
      <c r="Q193" s="3" t="s">
        <v>855</v>
      </c>
      <c r="R193" s="2"/>
      <c r="S193" s="2"/>
      <c r="T193" s="2"/>
      <c r="U193" s="2"/>
      <c r="V193" s="2"/>
      <c r="W193" s="2"/>
      <c r="X193" s="2"/>
      <c r="Y193" s="2"/>
      <c r="Z193" s="2"/>
    </row>
    <row r="194">
      <c r="A194" s="5" t="str">
        <f>IFERROR(__xludf.DUMMYFUNCTION("LEFT(A193, 4) &amp; TEXT(VALUE(REGEXEXTRACT(A193, ""\d+"")) + 1, ""0000"")"),"PSI-0192")</f>
        <v>PSI-0192</v>
      </c>
      <c r="B194" s="3" t="s">
        <v>704</v>
      </c>
      <c r="C194" s="3" t="s">
        <v>852</v>
      </c>
      <c r="D194" s="2" t="str">
        <f t="shared" si="1"/>
        <v>OBRIGAÇÃO | D</v>
      </c>
      <c r="E194" s="3" t="s">
        <v>76</v>
      </c>
      <c r="F194" s="3" t="s">
        <v>28</v>
      </c>
      <c r="G194" s="3" t="s">
        <v>329</v>
      </c>
      <c r="H194" s="3" t="s">
        <v>33</v>
      </c>
      <c r="I194" s="3">
        <v>8.0</v>
      </c>
      <c r="J194" s="3" t="s">
        <v>126</v>
      </c>
      <c r="K194" s="3" t="s">
        <v>95</v>
      </c>
      <c r="L194" s="3" t="s">
        <v>195</v>
      </c>
      <c r="M194" s="3" t="s">
        <v>821</v>
      </c>
      <c r="N194" s="3"/>
      <c r="O194" s="3" t="s">
        <v>853</v>
      </c>
      <c r="P194" s="3" t="s">
        <v>854</v>
      </c>
      <c r="Q194" s="3" t="s">
        <v>855</v>
      </c>
      <c r="R194" s="2"/>
      <c r="S194" s="2"/>
      <c r="T194" s="2"/>
      <c r="U194" s="2"/>
      <c r="V194" s="2"/>
      <c r="W194" s="2"/>
      <c r="X194" s="2"/>
      <c r="Y194" s="2"/>
      <c r="Z194" s="2"/>
    </row>
    <row r="195">
      <c r="A195" s="5" t="str">
        <f>IFERROR(__xludf.DUMMYFUNCTION("LEFT(A194, 4) &amp; TEXT(VALUE(REGEXEXTRACT(A194, ""\d+"")) + 1, ""0000"")"),"PSI-0193")</f>
        <v>PSI-0193</v>
      </c>
      <c r="B195" s="3" t="s">
        <v>704</v>
      </c>
      <c r="C195" s="3" t="s">
        <v>852</v>
      </c>
      <c r="D195" s="2" t="str">
        <f t="shared" si="1"/>
        <v>OBRIGAÇÃO | D</v>
      </c>
      <c r="E195" s="3" t="s">
        <v>76</v>
      </c>
      <c r="F195" s="3" t="s">
        <v>29</v>
      </c>
      <c r="G195" s="3" t="s">
        <v>329</v>
      </c>
      <c r="H195" s="3" t="s">
        <v>33</v>
      </c>
      <c r="I195" s="3">
        <v>8.0</v>
      </c>
      <c r="J195" s="3" t="s">
        <v>126</v>
      </c>
      <c r="K195" s="3" t="s">
        <v>95</v>
      </c>
      <c r="L195" s="3" t="s">
        <v>195</v>
      </c>
      <c r="M195" s="3" t="s">
        <v>821</v>
      </c>
      <c r="N195" s="3"/>
      <c r="O195" s="3" t="s">
        <v>853</v>
      </c>
      <c r="P195" s="3" t="s">
        <v>854</v>
      </c>
      <c r="Q195" s="3" t="s">
        <v>855</v>
      </c>
      <c r="R195" s="2"/>
      <c r="S195" s="2"/>
      <c r="T195" s="2"/>
      <c r="U195" s="2"/>
      <c r="V195" s="2"/>
      <c r="W195" s="2"/>
      <c r="X195" s="2"/>
      <c r="Y195" s="2"/>
      <c r="Z195" s="2"/>
    </row>
    <row r="196">
      <c r="A196" s="5" t="str">
        <f>IFERROR(__xludf.DUMMYFUNCTION("LEFT(A195, 4) &amp; TEXT(VALUE(REGEXEXTRACT(A195, ""\d+"")) + 1, ""0000"")"),"PSI-0194")</f>
        <v>PSI-0194</v>
      </c>
      <c r="B196" s="3" t="s">
        <v>704</v>
      </c>
      <c r="C196" s="3" t="s">
        <v>852</v>
      </c>
      <c r="D196" s="2" t="str">
        <f t="shared" si="1"/>
        <v>OBRIGAÇÃO | D</v>
      </c>
      <c r="E196" s="3" t="s">
        <v>76</v>
      </c>
      <c r="F196" s="3" t="s">
        <v>30</v>
      </c>
      <c r="G196" s="3" t="s">
        <v>329</v>
      </c>
      <c r="H196" s="3" t="s">
        <v>33</v>
      </c>
      <c r="I196" s="3">
        <v>8.0</v>
      </c>
      <c r="J196" s="3" t="s">
        <v>50</v>
      </c>
      <c r="K196" s="3" t="s">
        <v>95</v>
      </c>
      <c r="L196" s="3" t="s">
        <v>195</v>
      </c>
      <c r="M196" s="3" t="s">
        <v>821</v>
      </c>
      <c r="N196" s="2"/>
      <c r="O196" s="3" t="s">
        <v>853</v>
      </c>
      <c r="P196" s="3" t="s">
        <v>854</v>
      </c>
      <c r="Q196" s="3" t="s">
        <v>855</v>
      </c>
      <c r="R196" s="2"/>
      <c r="S196" s="2"/>
      <c r="T196" s="2"/>
      <c r="U196" s="2"/>
      <c r="V196" s="2"/>
      <c r="W196" s="2"/>
      <c r="X196" s="2"/>
      <c r="Y196" s="2"/>
      <c r="Z196" s="2"/>
    </row>
    <row r="197">
      <c r="A197" s="5" t="str">
        <f>IFERROR(__xludf.DUMMYFUNCTION("LEFT(A196, 4) &amp; TEXT(VALUE(REGEXEXTRACT(A196, ""\d+"")) + 1, ""0000"")"),"PSI-0195")</f>
        <v>PSI-0195</v>
      </c>
      <c r="B197" s="3" t="s">
        <v>704</v>
      </c>
      <c r="C197" s="3" t="s">
        <v>856</v>
      </c>
      <c r="D197" s="2" t="str">
        <f t="shared" si="1"/>
        <v>OBRIGAÇÃO PERMANENTE | MD</v>
      </c>
      <c r="E197" s="3" t="s">
        <v>94</v>
      </c>
      <c r="F197" s="3" t="s">
        <v>21</v>
      </c>
      <c r="G197" s="3" t="s">
        <v>329</v>
      </c>
      <c r="H197" s="3" t="s">
        <v>857</v>
      </c>
      <c r="I197" s="3">
        <v>16.0</v>
      </c>
      <c r="J197" s="3" t="s">
        <v>131</v>
      </c>
      <c r="K197" s="3" t="s">
        <v>95</v>
      </c>
      <c r="L197" s="3" t="s">
        <v>195</v>
      </c>
      <c r="M197" s="3" t="s">
        <v>124</v>
      </c>
      <c r="N197" s="3"/>
      <c r="O197" s="3" t="s">
        <v>853</v>
      </c>
      <c r="P197" s="3" t="s">
        <v>858</v>
      </c>
      <c r="Q197" s="3" t="s">
        <v>859</v>
      </c>
      <c r="R197" s="2"/>
      <c r="S197" s="2"/>
      <c r="T197" s="2"/>
      <c r="U197" s="2"/>
      <c r="V197" s="2"/>
      <c r="W197" s="2"/>
      <c r="X197" s="2"/>
      <c r="Y197" s="2"/>
      <c r="Z197" s="2"/>
    </row>
    <row r="198">
      <c r="A198" s="5" t="str">
        <f>IFERROR(__xludf.DUMMYFUNCTION("LEFT(A197, 4) &amp; TEXT(VALUE(REGEXEXTRACT(A197, ""\d+"")) + 1, ""0000"")"),"PSI-0196")</f>
        <v>PSI-0196</v>
      </c>
      <c r="B198" s="3" t="s">
        <v>704</v>
      </c>
      <c r="C198" s="3" t="s">
        <v>856</v>
      </c>
      <c r="D198" s="2" t="str">
        <f t="shared" si="1"/>
        <v>OBRIGAÇÃO PERMANENTE | MD</v>
      </c>
      <c r="E198" s="3" t="s">
        <v>94</v>
      </c>
      <c r="F198" s="3" t="s">
        <v>27</v>
      </c>
      <c r="G198" s="3" t="s">
        <v>329</v>
      </c>
      <c r="H198" s="3" t="s">
        <v>857</v>
      </c>
      <c r="I198" s="3">
        <v>16.0</v>
      </c>
      <c r="J198" s="3" t="s">
        <v>131</v>
      </c>
      <c r="K198" s="3" t="s">
        <v>95</v>
      </c>
      <c r="L198" s="3" t="s">
        <v>195</v>
      </c>
      <c r="M198" s="3" t="s">
        <v>821</v>
      </c>
      <c r="N198" s="3"/>
      <c r="O198" s="3" t="s">
        <v>853</v>
      </c>
      <c r="P198" s="3" t="s">
        <v>858</v>
      </c>
      <c r="Q198" s="3" t="s">
        <v>859</v>
      </c>
      <c r="R198" s="2"/>
      <c r="S198" s="2"/>
      <c r="T198" s="2"/>
      <c r="U198" s="2"/>
      <c r="V198" s="2"/>
      <c r="W198" s="2"/>
      <c r="X198" s="2"/>
      <c r="Y198" s="2"/>
      <c r="Z198" s="2"/>
    </row>
    <row r="199">
      <c r="A199" s="5" t="str">
        <f>IFERROR(__xludf.DUMMYFUNCTION("LEFT(A198, 4) &amp; TEXT(VALUE(REGEXEXTRACT(A198, ""\d+"")) + 1, ""0000"")"),"PSI-0197")</f>
        <v>PSI-0197</v>
      </c>
      <c r="B199" s="3" t="s">
        <v>704</v>
      </c>
      <c r="C199" s="3" t="s">
        <v>856</v>
      </c>
      <c r="D199" s="2" t="str">
        <f t="shared" si="1"/>
        <v>OBRIGAÇÃO PERMANENTE | MD</v>
      </c>
      <c r="E199" s="3" t="s">
        <v>94</v>
      </c>
      <c r="F199" s="3" t="s">
        <v>28</v>
      </c>
      <c r="G199" s="3" t="s">
        <v>329</v>
      </c>
      <c r="H199" s="3" t="s">
        <v>857</v>
      </c>
      <c r="I199" s="3">
        <v>16.0</v>
      </c>
      <c r="J199" s="3" t="s">
        <v>126</v>
      </c>
      <c r="K199" s="3" t="s">
        <v>95</v>
      </c>
      <c r="L199" s="3" t="s">
        <v>195</v>
      </c>
      <c r="M199" s="3" t="s">
        <v>821</v>
      </c>
      <c r="N199" s="3"/>
      <c r="O199" s="3" t="s">
        <v>853</v>
      </c>
      <c r="P199" s="3" t="s">
        <v>858</v>
      </c>
      <c r="Q199" s="3" t="s">
        <v>859</v>
      </c>
      <c r="R199" s="2"/>
      <c r="S199" s="2"/>
      <c r="T199" s="2"/>
      <c r="U199" s="2"/>
      <c r="V199" s="2"/>
      <c r="W199" s="2"/>
      <c r="X199" s="2"/>
      <c r="Y199" s="2"/>
      <c r="Z199" s="2"/>
    </row>
    <row r="200">
      <c r="A200" s="5" t="str">
        <f>IFERROR(__xludf.DUMMYFUNCTION("LEFT(A199, 4) &amp; TEXT(VALUE(REGEXEXTRACT(A199, ""\d+"")) + 1, ""0000"")"),"PSI-0198")</f>
        <v>PSI-0198</v>
      </c>
      <c r="B200" s="3" t="s">
        <v>704</v>
      </c>
      <c r="C200" s="3" t="s">
        <v>856</v>
      </c>
      <c r="D200" s="2" t="str">
        <f t="shared" si="1"/>
        <v>OBRIGAÇÃO PERMANENTE | MD</v>
      </c>
      <c r="E200" s="3" t="s">
        <v>94</v>
      </c>
      <c r="F200" s="3" t="s">
        <v>29</v>
      </c>
      <c r="G200" s="3" t="s">
        <v>329</v>
      </c>
      <c r="H200" s="3" t="s">
        <v>857</v>
      </c>
      <c r="I200" s="3">
        <v>16.0</v>
      </c>
      <c r="J200" s="3" t="s">
        <v>126</v>
      </c>
      <c r="K200" s="3" t="s">
        <v>95</v>
      </c>
      <c r="L200" s="3" t="s">
        <v>195</v>
      </c>
      <c r="M200" s="3" t="s">
        <v>821</v>
      </c>
      <c r="N200" s="3"/>
      <c r="O200" s="3" t="s">
        <v>853</v>
      </c>
      <c r="P200" s="3" t="s">
        <v>858</v>
      </c>
      <c r="Q200" s="3" t="s">
        <v>859</v>
      </c>
      <c r="R200" s="2"/>
      <c r="S200" s="2"/>
      <c r="T200" s="2"/>
      <c r="U200" s="2"/>
      <c r="V200" s="2"/>
      <c r="W200" s="2"/>
      <c r="X200" s="2"/>
      <c r="Y200" s="2"/>
      <c r="Z200" s="2"/>
    </row>
    <row r="201">
      <c r="A201" s="5" t="str">
        <f>IFERROR(__xludf.DUMMYFUNCTION("LEFT(A200, 4) &amp; TEXT(VALUE(REGEXEXTRACT(A200, ""\d+"")) + 1, ""0000"")"),"PSI-0199")</f>
        <v>PSI-0199</v>
      </c>
      <c r="B201" s="3" t="s">
        <v>704</v>
      </c>
      <c r="C201" s="3" t="s">
        <v>856</v>
      </c>
      <c r="D201" s="2" t="str">
        <f t="shared" si="1"/>
        <v>OBRIGAÇÃO PERMANENTE | MD</v>
      </c>
      <c r="E201" s="3" t="s">
        <v>94</v>
      </c>
      <c r="F201" s="3" t="s">
        <v>30</v>
      </c>
      <c r="G201" s="3" t="s">
        <v>329</v>
      </c>
      <c r="H201" s="3" t="s">
        <v>857</v>
      </c>
      <c r="I201" s="3">
        <v>16.0</v>
      </c>
      <c r="J201" s="3" t="s">
        <v>50</v>
      </c>
      <c r="K201" s="3" t="s">
        <v>95</v>
      </c>
      <c r="L201" s="3" t="s">
        <v>195</v>
      </c>
      <c r="M201" s="3" t="s">
        <v>821</v>
      </c>
      <c r="N201" s="2"/>
      <c r="O201" s="3" t="s">
        <v>853</v>
      </c>
      <c r="P201" s="3" t="s">
        <v>858</v>
      </c>
      <c r="Q201" s="3" t="s">
        <v>859</v>
      </c>
      <c r="R201" s="2"/>
      <c r="S201" s="2"/>
      <c r="T201" s="2"/>
      <c r="U201" s="2"/>
      <c r="V201" s="2"/>
      <c r="W201" s="2"/>
      <c r="X201" s="2"/>
      <c r="Y201" s="2"/>
      <c r="Z201" s="2"/>
    </row>
    <row r="202">
      <c r="A202" s="5" t="str">
        <f>IFERROR(__xludf.DUMMYFUNCTION("LEFT(A201, 4) &amp; TEXT(VALUE(REGEXEXTRACT(A201, ""\d+"")) + 1, ""0000"")"),"PSI-0200")</f>
        <v>PSI-0200</v>
      </c>
      <c r="B202" s="3" t="s">
        <v>704</v>
      </c>
      <c r="C202" s="3" t="s">
        <v>860</v>
      </c>
      <c r="D202" s="2" t="str">
        <f t="shared" si="1"/>
        <v>COMANDO | M</v>
      </c>
      <c r="E202" s="3" t="s">
        <v>48</v>
      </c>
      <c r="F202" s="3" t="s">
        <v>21</v>
      </c>
      <c r="G202" s="3" t="s">
        <v>329</v>
      </c>
      <c r="H202" s="3" t="s">
        <v>33</v>
      </c>
      <c r="I202" s="3">
        <v>4.0</v>
      </c>
      <c r="J202" s="3" t="s">
        <v>23</v>
      </c>
      <c r="K202" s="3" t="s">
        <v>95</v>
      </c>
      <c r="L202" s="6" t="s">
        <v>65</v>
      </c>
      <c r="M202" s="3" t="s">
        <v>124</v>
      </c>
      <c r="N202" s="3" t="s">
        <v>125</v>
      </c>
      <c r="O202" s="3" t="s">
        <v>126</v>
      </c>
      <c r="P202" s="3" t="s">
        <v>861</v>
      </c>
      <c r="Q202" s="3" t="s">
        <v>862</v>
      </c>
      <c r="R202" s="2"/>
      <c r="S202" s="2"/>
      <c r="T202" s="2"/>
      <c r="U202" s="2"/>
      <c r="V202" s="2"/>
      <c r="W202" s="2"/>
      <c r="X202" s="2"/>
      <c r="Y202" s="2"/>
      <c r="Z202" s="2"/>
    </row>
    <row r="203">
      <c r="A203" s="5" t="str">
        <f>IFERROR(__xludf.DUMMYFUNCTION("LEFT(A202, 4) &amp; TEXT(VALUE(REGEXEXTRACT(A202, ""\d+"")) + 1, ""0000"")"),"PSI-0201")</f>
        <v>PSI-0201</v>
      </c>
      <c r="B203" s="3" t="s">
        <v>704</v>
      </c>
      <c r="C203" s="3" t="s">
        <v>860</v>
      </c>
      <c r="D203" s="2" t="str">
        <f t="shared" si="1"/>
        <v>COMANDO | M</v>
      </c>
      <c r="E203" s="3" t="s">
        <v>48</v>
      </c>
      <c r="F203" s="3" t="s">
        <v>27</v>
      </c>
      <c r="G203" s="3" t="s">
        <v>329</v>
      </c>
      <c r="H203" s="3" t="s">
        <v>33</v>
      </c>
      <c r="I203" s="3">
        <v>4.0</v>
      </c>
      <c r="J203" s="3" t="s">
        <v>23</v>
      </c>
      <c r="K203" s="3" t="s">
        <v>95</v>
      </c>
      <c r="L203" s="6" t="s">
        <v>35</v>
      </c>
      <c r="M203" s="3" t="s">
        <v>124</v>
      </c>
      <c r="N203" s="3" t="s">
        <v>128</v>
      </c>
      <c r="O203" s="3" t="s">
        <v>126</v>
      </c>
      <c r="P203" s="3" t="s">
        <v>861</v>
      </c>
      <c r="Q203" s="3" t="s">
        <v>862</v>
      </c>
      <c r="R203" s="2"/>
      <c r="S203" s="2"/>
      <c r="T203" s="2"/>
      <c r="U203" s="2"/>
      <c r="V203" s="2"/>
      <c r="W203" s="2"/>
      <c r="X203" s="2"/>
      <c r="Y203" s="2"/>
      <c r="Z203" s="2"/>
    </row>
    <row r="204">
      <c r="A204" s="5" t="str">
        <f>IFERROR(__xludf.DUMMYFUNCTION("LEFT(A203, 4) &amp; TEXT(VALUE(REGEXEXTRACT(A203, ""\d+"")) + 1, ""0000"")"),"PSI-0202")</f>
        <v>PSI-0202</v>
      </c>
      <c r="B204" s="3" t="s">
        <v>704</v>
      </c>
      <c r="C204" s="3" t="s">
        <v>860</v>
      </c>
      <c r="D204" s="2" t="str">
        <f t="shared" si="1"/>
        <v>COMANDO | M</v>
      </c>
      <c r="E204" s="3" t="s">
        <v>48</v>
      </c>
      <c r="F204" s="3" t="s">
        <v>28</v>
      </c>
      <c r="G204" s="3" t="s">
        <v>329</v>
      </c>
      <c r="H204" s="3" t="s">
        <v>33</v>
      </c>
      <c r="I204" s="3">
        <v>4.0</v>
      </c>
      <c r="J204" s="3" t="s">
        <v>23</v>
      </c>
      <c r="K204" s="3" t="s">
        <v>95</v>
      </c>
      <c r="L204" s="6" t="s">
        <v>70</v>
      </c>
      <c r="M204" s="3" t="s">
        <v>124</v>
      </c>
      <c r="N204" s="3" t="s">
        <v>130</v>
      </c>
      <c r="O204" s="3" t="s">
        <v>131</v>
      </c>
      <c r="P204" s="3" t="s">
        <v>861</v>
      </c>
      <c r="Q204" s="3" t="s">
        <v>862</v>
      </c>
      <c r="R204" s="2"/>
      <c r="S204" s="2"/>
      <c r="T204" s="2"/>
      <c r="U204" s="2"/>
      <c r="V204" s="2"/>
      <c r="W204" s="2"/>
      <c r="X204" s="2"/>
      <c r="Y204" s="2"/>
      <c r="Z204" s="2"/>
    </row>
    <row r="205">
      <c r="A205" s="5" t="str">
        <f>IFERROR(__xludf.DUMMYFUNCTION("LEFT(A204, 4) &amp; TEXT(VALUE(REGEXEXTRACT(A204, ""\d+"")) + 1, ""0000"")"),"PSI-0203")</f>
        <v>PSI-0203</v>
      </c>
      <c r="B205" s="3" t="s">
        <v>704</v>
      </c>
      <c r="C205" s="3" t="s">
        <v>860</v>
      </c>
      <c r="D205" s="2" t="str">
        <f t="shared" si="1"/>
        <v>COMANDO | M</v>
      </c>
      <c r="E205" s="3" t="s">
        <v>48</v>
      </c>
      <c r="F205" s="3" t="s">
        <v>29</v>
      </c>
      <c r="G205" s="3" t="s">
        <v>329</v>
      </c>
      <c r="H205" s="3" t="s">
        <v>33</v>
      </c>
      <c r="I205" s="3">
        <v>4.0</v>
      </c>
      <c r="J205" s="3" t="s">
        <v>23</v>
      </c>
      <c r="K205" s="3" t="s">
        <v>95</v>
      </c>
      <c r="L205" s="6" t="s">
        <v>72</v>
      </c>
      <c r="M205" s="3" t="s">
        <v>124</v>
      </c>
      <c r="N205" s="3" t="s">
        <v>133</v>
      </c>
      <c r="O205" s="3" t="s">
        <v>131</v>
      </c>
      <c r="P205" s="3" t="s">
        <v>861</v>
      </c>
      <c r="Q205" s="3" t="s">
        <v>862</v>
      </c>
      <c r="R205" s="2"/>
      <c r="S205" s="2"/>
      <c r="T205" s="2"/>
      <c r="U205" s="2"/>
      <c r="V205" s="2"/>
      <c r="W205" s="2"/>
      <c r="X205" s="2"/>
      <c r="Y205" s="2"/>
      <c r="Z205" s="2"/>
    </row>
    <row r="206">
      <c r="A206" s="5" t="str">
        <f>IFERROR(__xludf.DUMMYFUNCTION("LEFT(A205, 4) &amp; TEXT(VALUE(REGEXEXTRACT(A205, ""\d+"")) + 1, ""0000"")"),"PSI-0204")</f>
        <v>PSI-0204</v>
      </c>
      <c r="B206" s="3" t="s">
        <v>704</v>
      </c>
      <c r="C206" s="3" t="s">
        <v>860</v>
      </c>
      <c r="D206" s="2" t="str">
        <f t="shared" si="1"/>
        <v>COMANDO | M</v>
      </c>
      <c r="E206" s="3" t="s">
        <v>48</v>
      </c>
      <c r="F206" s="3" t="s">
        <v>30</v>
      </c>
      <c r="G206" s="3" t="s">
        <v>329</v>
      </c>
      <c r="H206" s="3" t="s">
        <v>33</v>
      </c>
      <c r="I206" s="3">
        <v>4.0</v>
      </c>
      <c r="J206" s="3" t="s">
        <v>23</v>
      </c>
      <c r="K206" s="3" t="s">
        <v>95</v>
      </c>
      <c r="L206" s="6" t="s">
        <v>39</v>
      </c>
      <c r="M206" s="3" t="s">
        <v>124</v>
      </c>
      <c r="N206" s="3" t="s">
        <v>133</v>
      </c>
      <c r="O206" s="3" t="s">
        <v>790</v>
      </c>
      <c r="P206" s="3" t="s">
        <v>861</v>
      </c>
      <c r="Q206" s="3" t="s">
        <v>862</v>
      </c>
      <c r="R206" s="2"/>
      <c r="S206" s="2"/>
      <c r="T206" s="2"/>
      <c r="U206" s="2"/>
      <c r="V206" s="2"/>
      <c r="W206" s="2"/>
      <c r="X206" s="2"/>
      <c r="Y206" s="2"/>
      <c r="Z206" s="2"/>
    </row>
    <row r="207">
      <c r="A207" s="5" t="str">
        <f>IFERROR(__xludf.DUMMYFUNCTION("LEFT(A206, 4) &amp; TEXT(VALUE(REGEXEXTRACT(A206, ""\d+"")) + 1, ""0000"")"),"PSI-0205")</f>
        <v>PSI-0205</v>
      </c>
      <c r="B207" s="3" t="s">
        <v>704</v>
      </c>
      <c r="C207" s="3" t="s">
        <v>863</v>
      </c>
      <c r="D207" s="2" t="str">
        <f t="shared" si="1"/>
        <v>VOTO | D</v>
      </c>
      <c r="E207" s="3" t="s">
        <v>76</v>
      </c>
      <c r="F207" s="3" t="s">
        <v>21</v>
      </c>
      <c r="G207" s="3" t="s">
        <v>329</v>
      </c>
      <c r="H207" s="3" t="s">
        <v>33</v>
      </c>
      <c r="I207" s="3">
        <v>8.0</v>
      </c>
      <c r="J207" s="3" t="s">
        <v>131</v>
      </c>
      <c r="K207" s="3" t="s">
        <v>95</v>
      </c>
      <c r="L207" s="3" t="s">
        <v>195</v>
      </c>
      <c r="M207" s="3" t="s">
        <v>124</v>
      </c>
      <c r="N207" s="2"/>
      <c r="O207" s="3" t="s">
        <v>749</v>
      </c>
      <c r="P207" s="3" t="s">
        <v>864</v>
      </c>
      <c r="Q207" s="3" t="s">
        <v>865</v>
      </c>
      <c r="R207" s="2"/>
      <c r="S207" s="2"/>
      <c r="T207" s="2"/>
      <c r="U207" s="2"/>
      <c r="V207" s="2"/>
      <c r="W207" s="2"/>
      <c r="X207" s="2"/>
      <c r="Y207" s="2"/>
      <c r="Z207" s="2"/>
    </row>
    <row r="208">
      <c r="A208" s="5" t="str">
        <f>IFERROR(__xludf.DUMMYFUNCTION("LEFT(A207, 4) &amp; TEXT(VALUE(REGEXEXTRACT(A207, ""\d+"")) + 1, ""0000"")"),"PSI-0206")</f>
        <v>PSI-0206</v>
      </c>
      <c r="B208" s="3" t="s">
        <v>704</v>
      </c>
      <c r="C208" s="3" t="s">
        <v>863</v>
      </c>
      <c r="D208" s="2" t="str">
        <f t="shared" si="1"/>
        <v>VOTO | D</v>
      </c>
      <c r="E208" s="3" t="s">
        <v>76</v>
      </c>
      <c r="F208" s="3" t="s">
        <v>27</v>
      </c>
      <c r="G208" s="3" t="s">
        <v>329</v>
      </c>
      <c r="H208" s="3" t="s">
        <v>33</v>
      </c>
      <c r="I208" s="3">
        <v>8.0</v>
      </c>
      <c r="J208" s="3" t="s">
        <v>131</v>
      </c>
      <c r="K208" s="3" t="s">
        <v>95</v>
      </c>
      <c r="L208" s="3" t="s">
        <v>195</v>
      </c>
      <c r="M208" s="3" t="s">
        <v>821</v>
      </c>
      <c r="N208" s="2"/>
      <c r="O208" s="3" t="s">
        <v>749</v>
      </c>
      <c r="P208" s="3" t="s">
        <v>864</v>
      </c>
      <c r="Q208" s="3" t="s">
        <v>865</v>
      </c>
      <c r="R208" s="2"/>
      <c r="S208" s="2"/>
      <c r="T208" s="2"/>
      <c r="U208" s="2"/>
      <c r="V208" s="2"/>
      <c r="W208" s="2"/>
      <c r="X208" s="2"/>
      <c r="Y208" s="2"/>
      <c r="Z208" s="2"/>
    </row>
    <row r="209">
      <c r="A209" s="5" t="str">
        <f>IFERROR(__xludf.DUMMYFUNCTION("LEFT(A208, 4) &amp; TEXT(VALUE(REGEXEXTRACT(A208, ""\d+"")) + 1, ""0000"")"),"PSI-0207")</f>
        <v>PSI-0207</v>
      </c>
      <c r="B209" s="3" t="s">
        <v>704</v>
      </c>
      <c r="C209" s="3" t="s">
        <v>863</v>
      </c>
      <c r="D209" s="2" t="str">
        <f t="shared" si="1"/>
        <v>VOTO | D</v>
      </c>
      <c r="E209" s="3" t="s">
        <v>76</v>
      </c>
      <c r="F209" s="3" t="s">
        <v>28</v>
      </c>
      <c r="G209" s="3" t="s">
        <v>329</v>
      </c>
      <c r="H209" s="3" t="s">
        <v>33</v>
      </c>
      <c r="I209" s="3">
        <v>8.0</v>
      </c>
      <c r="J209" s="3" t="s">
        <v>126</v>
      </c>
      <c r="K209" s="3" t="s">
        <v>95</v>
      </c>
      <c r="L209" s="3" t="s">
        <v>195</v>
      </c>
      <c r="M209" s="3" t="s">
        <v>821</v>
      </c>
      <c r="N209" s="2"/>
      <c r="O209" s="3" t="s">
        <v>749</v>
      </c>
      <c r="P209" s="3" t="s">
        <v>864</v>
      </c>
      <c r="Q209" s="3" t="s">
        <v>865</v>
      </c>
      <c r="R209" s="2"/>
      <c r="S209" s="2"/>
      <c r="T209" s="2"/>
      <c r="U209" s="2"/>
      <c r="V209" s="2"/>
      <c r="W209" s="2"/>
      <c r="X209" s="2"/>
      <c r="Y209" s="2"/>
      <c r="Z209" s="2"/>
    </row>
    <row r="210">
      <c r="A210" s="5" t="str">
        <f>IFERROR(__xludf.DUMMYFUNCTION("LEFT(A209, 4) &amp; TEXT(VALUE(REGEXEXTRACT(A209, ""\d+"")) + 1, ""0000"")"),"PSI-0208")</f>
        <v>PSI-0208</v>
      </c>
      <c r="B210" s="3" t="s">
        <v>704</v>
      </c>
      <c r="C210" s="3" t="s">
        <v>863</v>
      </c>
      <c r="D210" s="2" t="str">
        <f t="shared" si="1"/>
        <v>VOTO | D</v>
      </c>
      <c r="E210" s="3" t="s">
        <v>76</v>
      </c>
      <c r="F210" s="3" t="s">
        <v>29</v>
      </c>
      <c r="G210" s="3" t="s">
        <v>329</v>
      </c>
      <c r="H210" s="3" t="s">
        <v>33</v>
      </c>
      <c r="I210" s="3">
        <v>8.0</v>
      </c>
      <c r="J210" s="3" t="s">
        <v>126</v>
      </c>
      <c r="K210" s="3" t="s">
        <v>95</v>
      </c>
      <c r="L210" s="3" t="s">
        <v>195</v>
      </c>
      <c r="M210" s="3" t="s">
        <v>821</v>
      </c>
      <c r="N210" s="2"/>
      <c r="O210" s="3" t="s">
        <v>749</v>
      </c>
      <c r="P210" s="3" t="s">
        <v>864</v>
      </c>
      <c r="Q210" s="3" t="s">
        <v>865</v>
      </c>
      <c r="R210" s="2"/>
      <c r="S210" s="2"/>
      <c r="T210" s="2"/>
      <c r="U210" s="2"/>
      <c r="V210" s="2"/>
      <c r="W210" s="2"/>
      <c r="X210" s="2"/>
      <c r="Y210" s="2"/>
      <c r="Z210" s="2"/>
    </row>
    <row r="211">
      <c r="A211" s="5" t="str">
        <f>IFERROR(__xludf.DUMMYFUNCTION("LEFT(A210, 4) &amp; TEXT(VALUE(REGEXEXTRACT(A210, ""\d+"")) + 1, ""0000"")"),"PSI-0209")</f>
        <v>PSI-0209</v>
      </c>
      <c r="B211" s="3" t="s">
        <v>704</v>
      </c>
      <c r="C211" s="3" t="s">
        <v>863</v>
      </c>
      <c r="D211" s="2" t="str">
        <f t="shared" si="1"/>
        <v>VOTO | D</v>
      </c>
      <c r="E211" s="3" t="s">
        <v>76</v>
      </c>
      <c r="F211" s="3" t="s">
        <v>30</v>
      </c>
      <c r="G211" s="3" t="s">
        <v>329</v>
      </c>
      <c r="H211" s="3" t="s">
        <v>33</v>
      </c>
      <c r="I211" s="3">
        <v>8.0</v>
      </c>
      <c r="J211" s="3" t="s">
        <v>50</v>
      </c>
      <c r="K211" s="3" t="s">
        <v>95</v>
      </c>
      <c r="L211" s="3" t="s">
        <v>195</v>
      </c>
      <c r="M211" s="3" t="s">
        <v>821</v>
      </c>
      <c r="N211" s="2"/>
      <c r="O211" s="3" t="s">
        <v>749</v>
      </c>
      <c r="P211" s="3" t="s">
        <v>864</v>
      </c>
      <c r="Q211" s="3" t="s">
        <v>865</v>
      </c>
      <c r="R211" s="2"/>
      <c r="S211" s="2"/>
      <c r="T211" s="2"/>
      <c r="U211" s="2"/>
      <c r="V211" s="2"/>
      <c r="W211" s="2"/>
      <c r="X211" s="2"/>
      <c r="Y211" s="2"/>
      <c r="Z211" s="2"/>
    </row>
    <row r="212">
      <c r="A212" s="5" t="str">
        <f>IFERROR(__xludf.DUMMYFUNCTION("LEFT(A211, 4) &amp; TEXT(VALUE(REGEXEXTRACT(A211, ""\d+"")) + 1, ""0000"")"),"PSI-0210")</f>
        <v>PSI-0210</v>
      </c>
      <c r="B212" s="3" t="s">
        <v>704</v>
      </c>
      <c r="C212" s="3" t="s">
        <v>866</v>
      </c>
      <c r="D212" s="2" t="str">
        <f t="shared" si="1"/>
        <v>LEALDADE | D</v>
      </c>
      <c r="E212" s="3" t="s">
        <v>76</v>
      </c>
      <c r="F212" s="3" t="s">
        <v>21</v>
      </c>
      <c r="G212" s="3" t="s">
        <v>329</v>
      </c>
      <c r="H212" s="3" t="s">
        <v>867</v>
      </c>
      <c r="I212" s="3">
        <v>4.0</v>
      </c>
      <c r="J212" s="3" t="s">
        <v>23</v>
      </c>
      <c r="K212" s="3" t="s">
        <v>95</v>
      </c>
      <c r="L212" s="6" t="s">
        <v>65</v>
      </c>
      <c r="M212" s="3" t="s">
        <v>124</v>
      </c>
      <c r="N212" s="3" t="s">
        <v>125</v>
      </c>
      <c r="O212" s="3" t="s">
        <v>126</v>
      </c>
      <c r="P212" s="3" t="s">
        <v>868</v>
      </c>
      <c r="Q212" s="3" t="s">
        <v>869</v>
      </c>
      <c r="R212" s="2"/>
      <c r="S212" s="2"/>
      <c r="T212" s="2"/>
      <c r="U212" s="2"/>
      <c r="V212" s="2"/>
      <c r="W212" s="2"/>
      <c r="X212" s="2"/>
      <c r="Y212" s="2"/>
      <c r="Z212" s="2"/>
    </row>
    <row r="213">
      <c r="A213" s="5" t="str">
        <f>IFERROR(__xludf.DUMMYFUNCTION("LEFT(A212, 4) &amp; TEXT(VALUE(REGEXEXTRACT(A212, ""\d+"")) + 1, ""0000"")"),"PSI-0211")</f>
        <v>PSI-0211</v>
      </c>
      <c r="B213" s="3" t="s">
        <v>704</v>
      </c>
      <c r="C213" s="3" t="s">
        <v>866</v>
      </c>
      <c r="D213" s="2" t="str">
        <f t="shared" si="1"/>
        <v>LEALDADE | D</v>
      </c>
      <c r="E213" s="3" t="s">
        <v>76</v>
      </c>
      <c r="F213" s="3" t="s">
        <v>27</v>
      </c>
      <c r="G213" s="3" t="s">
        <v>329</v>
      </c>
      <c r="H213" s="3" t="s">
        <v>867</v>
      </c>
      <c r="I213" s="3">
        <v>4.0</v>
      </c>
      <c r="J213" s="3" t="s">
        <v>23</v>
      </c>
      <c r="K213" s="3" t="s">
        <v>95</v>
      </c>
      <c r="L213" s="6" t="s">
        <v>35</v>
      </c>
      <c r="M213" s="3" t="s">
        <v>124</v>
      </c>
      <c r="N213" s="3" t="s">
        <v>128</v>
      </c>
      <c r="O213" s="3" t="s">
        <v>126</v>
      </c>
      <c r="P213" s="3" t="s">
        <v>868</v>
      </c>
      <c r="Q213" s="3" t="s">
        <v>869</v>
      </c>
      <c r="R213" s="2"/>
      <c r="S213" s="2"/>
      <c r="T213" s="2"/>
      <c r="U213" s="2"/>
      <c r="V213" s="2"/>
      <c r="W213" s="2"/>
      <c r="X213" s="2"/>
      <c r="Y213" s="2"/>
      <c r="Z213" s="2"/>
    </row>
    <row r="214">
      <c r="A214" s="5" t="str">
        <f>IFERROR(__xludf.DUMMYFUNCTION("LEFT(A213, 4) &amp; TEXT(VALUE(REGEXEXTRACT(A213, ""\d+"")) + 1, ""0000"")"),"PSI-0212")</f>
        <v>PSI-0212</v>
      </c>
      <c r="B214" s="3" t="s">
        <v>704</v>
      </c>
      <c r="C214" s="3" t="s">
        <v>866</v>
      </c>
      <c r="D214" s="2" t="str">
        <f t="shared" si="1"/>
        <v>LEALDADE | D</v>
      </c>
      <c r="E214" s="3" t="s">
        <v>76</v>
      </c>
      <c r="F214" s="3" t="s">
        <v>28</v>
      </c>
      <c r="G214" s="3" t="s">
        <v>329</v>
      </c>
      <c r="H214" s="3" t="s">
        <v>867</v>
      </c>
      <c r="I214" s="3">
        <v>4.0</v>
      </c>
      <c r="J214" s="3" t="s">
        <v>23</v>
      </c>
      <c r="K214" s="3" t="s">
        <v>95</v>
      </c>
      <c r="L214" s="6" t="s">
        <v>70</v>
      </c>
      <c r="M214" s="3" t="s">
        <v>124</v>
      </c>
      <c r="N214" s="3" t="s">
        <v>130</v>
      </c>
      <c r="O214" s="3" t="s">
        <v>131</v>
      </c>
      <c r="P214" s="3" t="s">
        <v>868</v>
      </c>
      <c r="Q214" s="3" t="s">
        <v>869</v>
      </c>
      <c r="R214" s="2"/>
      <c r="S214" s="2"/>
      <c r="T214" s="2"/>
      <c r="U214" s="2"/>
      <c r="V214" s="2"/>
      <c r="W214" s="2"/>
      <c r="X214" s="2"/>
      <c r="Y214" s="2"/>
      <c r="Z214" s="2"/>
    </row>
    <row r="215">
      <c r="A215" s="5" t="str">
        <f>IFERROR(__xludf.DUMMYFUNCTION("LEFT(A214, 4) &amp; TEXT(VALUE(REGEXEXTRACT(A214, ""\d+"")) + 1, ""0000"")"),"PSI-0213")</f>
        <v>PSI-0213</v>
      </c>
      <c r="B215" s="3" t="s">
        <v>704</v>
      </c>
      <c r="C215" s="3" t="s">
        <v>866</v>
      </c>
      <c r="D215" s="2" t="str">
        <f t="shared" si="1"/>
        <v>LEALDADE | D</v>
      </c>
      <c r="E215" s="3" t="s">
        <v>76</v>
      </c>
      <c r="F215" s="3" t="s">
        <v>29</v>
      </c>
      <c r="G215" s="3" t="s">
        <v>329</v>
      </c>
      <c r="H215" s="3" t="s">
        <v>867</v>
      </c>
      <c r="I215" s="3">
        <v>4.0</v>
      </c>
      <c r="J215" s="3" t="s">
        <v>23</v>
      </c>
      <c r="K215" s="3" t="s">
        <v>95</v>
      </c>
      <c r="L215" s="6" t="s">
        <v>72</v>
      </c>
      <c r="M215" s="3" t="s">
        <v>124</v>
      </c>
      <c r="N215" s="3" t="s">
        <v>133</v>
      </c>
      <c r="O215" s="3" t="s">
        <v>131</v>
      </c>
      <c r="P215" s="3" t="s">
        <v>868</v>
      </c>
      <c r="Q215" s="3" t="s">
        <v>869</v>
      </c>
      <c r="R215" s="2"/>
      <c r="S215" s="2"/>
      <c r="T215" s="2"/>
      <c r="U215" s="2"/>
      <c r="V215" s="2"/>
      <c r="W215" s="2"/>
      <c r="X215" s="2"/>
      <c r="Y215" s="2"/>
      <c r="Z215" s="2"/>
    </row>
    <row r="216">
      <c r="A216" s="5" t="str">
        <f>IFERROR(__xludf.DUMMYFUNCTION("LEFT(A215, 4) &amp; TEXT(VALUE(REGEXEXTRACT(A215, ""\d+"")) + 1, ""0000"")"),"PSI-0214")</f>
        <v>PSI-0214</v>
      </c>
      <c r="B216" s="3" t="s">
        <v>704</v>
      </c>
      <c r="C216" s="3" t="s">
        <v>866</v>
      </c>
      <c r="D216" s="2" t="str">
        <f t="shared" si="1"/>
        <v>LEALDADE | D</v>
      </c>
      <c r="E216" s="3" t="s">
        <v>76</v>
      </c>
      <c r="F216" s="3" t="s">
        <v>30</v>
      </c>
      <c r="G216" s="3" t="s">
        <v>329</v>
      </c>
      <c r="H216" s="3" t="s">
        <v>33</v>
      </c>
      <c r="I216" s="3">
        <v>4.0</v>
      </c>
      <c r="J216" s="3" t="s">
        <v>23</v>
      </c>
      <c r="K216" s="3" t="s">
        <v>95</v>
      </c>
      <c r="L216" s="6" t="s">
        <v>39</v>
      </c>
      <c r="M216" s="3" t="s">
        <v>124</v>
      </c>
      <c r="N216" s="3" t="s">
        <v>133</v>
      </c>
      <c r="O216" s="3" t="s">
        <v>790</v>
      </c>
      <c r="P216" s="3" t="s">
        <v>868</v>
      </c>
      <c r="Q216" s="3" t="s">
        <v>869</v>
      </c>
      <c r="R216" s="2"/>
      <c r="S216" s="2"/>
      <c r="T216" s="2"/>
      <c r="U216" s="2"/>
      <c r="V216" s="2"/>
      <c r="W216" s="2"/>
      <c r="X216" s="2"/>
      <c r="Y216" s="2"/>
      <c r="Z216" s="2"/>
    </row>
    <row r="217">
      <c r="A217" s="5" t="str">
        <f>IFERROR(__xludf.DUMMYFUNCTION("LEFT(A216, 4) &amp; TEXT(VALUE(REGEXEXTRACT(A216, ""\d+"")) + 1, ""0000"")"),"PSI-0215")</f>
        <v>PSI-0215</v>
      </c>
      <c r="B217" s="3" t="s">
        <v>704</v>
      </c>
      <c r="C217" s="3" t="s">
        <v>870</v>
      </c>
      <c r="D217" s="2" t="str">
        <f t="shared" si="1"/>
        <v>ESCRAVIZAR | MD</v>
      </c>
      <c r="E217" s="3" t="s">
        <v>94</v>
      </c>
      <c r="F217" s="3" t="s">
        <v>21</v>
      </c>
      <c r="G217" s="3" t="s">
        <v>329</v>
      </c>
      <c r="H217" s="3" t="s">
        <v>857</v>
      </c>
      <c r="I217" s="3">
        <v>16.0</v>
      </c>
      <c r="J217" s="3" t="s">
        <v>131</v>
      </c>
      <c r="K217" s="3" t="s">
        <v>95</v>
      </c>
      <c r="L217" s="3" t="s">
        <v>195</v>
      </c>
      <c r="M217" s="3" t="s">
        <v>124</v>
      </c>
      <c r="N217" s="3" t="s">
        <v>276</v>
      </c>
      <c r="O217" s="3" t="s">
        <v>61</v>
      </c>
      <c r="P217" s="3" t="s">
        <v>871</v>
      </c>
      <c r="Q217" s="3" t="s">
        <v>872</v>
      </c>
      <c r="R217" s="2"/>
      <c r="S217" s="2"/>
      <c r="T217" s="2"/>
      <c r="U217" s="2"/>
      <c r="V217" s="2"/>
      <c r="W217" s="2"/>
      <c r="X217" s="2"/>
      <c r="Y217" s="2"/>
      <c r="Z217" s="2"/>
    </row>
    <row r="218">
      <c r="A218" s="5" t="str">
        <f>IFERROR(__xludf.DUMMYFUNCTION("LEFT(A217, 4) &amp; TEXT(VALUE(REGEXEXTRACT(A217, ""\d+"")) + 1, ""0000"")"),"PSI-0216")</f>
        <v>PSI-0216</v>
      </c>
      <c r="B218" s="3" t="s">
        <v>704</v>
      </c>
      <c r="C218" s="3" t="s">
        <v>870</v>
      </c>
      <c r="D218" s="2" t="str">
        <f t="shared" si="1"/>
        <v>ESCRAVIZAR | MD</v>
      </c>
      <c r="E218" s="3" t="s">
        <v>94</v>
      </c>
      <c r="F218" s="3" t="s">
        <v>27</v>
      </c>
      <c r="G218" s="3" t="s">
        <v>329</v>
      </c>
      <c r="H218" s="3" t="s">
        <v>857</v>
      </c>
      <c r="I218" s="3">
        <v>16.0</v>
      </c>
      <c r="J218" s="3" t="s">
        <v>131</v>
      </c>
      <c r="K218" s="3" t="s">
        <v>95</v>
      </c>
      <c r="L218" s="3" t="s">
        <v>195</v>
      </c>
      <c r="M218" s="3" t="s">
        <v>821</v>
      </c>
      <c r="N218" s="3" t="s">
        <v>280</v>
      </c>
      <c r="O218" s="3" t="s">
        <v>294</v>
      </c>
      <c r="P218" s="3" t="s">
        <v>871</v>
      </c>
      <c r="Q218" s="3" t="s">
        <v>872</v>
      </c>
      <c r="R218" s="2"/>
      <c r="S218" s="2"/>
      <c r="T218" s="2"/>
      <c r="U218" s="2"/>
      <c r="V218" s="2"/>
      <c r="W218" s="2"/>
      <c r="X218" s="2"/>
      <c r="Y218" s="2"/>
      <c r="Z218" s="2"/>
    </row>
    <row r="219">
      <c r="A219" s="5" t="str">
        <f>IFERROR(__xludf.DUMMYFUNCTION("LEFT(A218, 4) &amp; TEXT(VALUE(REGEXEXTRACT(A218, ""\d+"")) + 1, ""0000"")"),"PSI-0217")</f>
        <v>PSI-0217</v>
      </c>
      <c r="B219" s="3" t="s">
        <v>704</v>
      </c>
      <c r="C219" s="3" t="s">
        <v>870</v>
      </c>
      <c r="D219" s="2" t="str">
        <f t="shared" si="1"/>
        <v>ESCRAVIZAR | MD</v>
      </c>
      <c r="E219" s="3" t="s">
        <v>94</v>
      </c>
      <c r="F219" s="3" t="s">
        <v>28</v>
      </c>
      <c r="G219" s="3" t="s">
        <v>329</v>
      </c>
      <c r="H219" s="3" t="s">
        <v>857</v>
      </c>
      <c r="I219" s="3">
        <v>16.0</v>
      </c>
      <c r="J219" s="3" t="s">
        <v>126</v>
      </c>
      <c r="K219" s="3" t="s">
        <v>95</v>
      </c>
      <c r="L219" s="3" t="s">
        <v>195</v>
      </c>
      <c r="M219" s="3" t="s">
        <v>821</v>
      </c>
      <c r="N219" s="3" t="s">
        <v>282</v>
      </c>
      <c r="O219" s="3" t="s">
        <v>824</v>
      </c>
      <c r="P219" s="3" t="s">
        <v>871</v>
      </c>
      <c r="Q219" s="3" t="s">
        <v>872</v>
      </c>
      <c r="R219" s="2"/>
      <c r="S219" s="2"/>
      <c r="T219" s="2"/>
      <c r="U219" s="2"/>
      <c r="V219" s="2"/>
      <c r="W219" s="2"/>
      <c r="X219" s="2"/>
      <c r="Y219" s="2"/>
      <c r="Z219" s="2"/>
    </row>
    <row r="220">
      <c r="A220" s="5" t="str">
        <f>IFERROR(__xludf.DUMMYFUNCTION("LEFT(A219, 4) &amp; TEXT(VALUE(REGEXEXTRACT(A219, ""\d+"")) + 1, ""0000"")"),"PSI-0218")</f>
        <v>PSI-0218</v>
      </c>
      <c r="B220" s="3" t="s">
        <v>704</v>
      </c>
      <c r="C220" s="3" t="s">
        <v>870</v>
      </c>
      <c r="D220" s="2" t="str">
        <f t="shared" si="1"/>
        <v>ESCRAVIZAR | MD</v>
      </c>
      <c r="E220" s="3" t="s">
        <v>94</v>
      </c>
      <c r="F220" s="3" t="s">
        <v>29</v>
      </c>
      <c r="G220" s="3" t="s">
        <v>329</v>
      </c>
      <c r="H220" s="3" t="s">
        <v>857</v>
      </c>
      <c r="I220" s="3">
        <v>16.0</v>
      </c>
      <c r="J220" s="3" t="s">
        <v>126</v>
      </c>
      <c r="K220" s="3" t="s">
        <v>95</v>
      </c>
      <c r="L220" s="3" t="s">
        <v>195</v>
      </c>
      <c r="M220" s="3" t="s">
        <v>821</v>
      </c>
      <c r="N220" s="3" t="s">
        <v>284</v>
      </c>
      <c r="O220" s="3" t="s">
        <v>825</v>
      </c>
      <c r="P220" s="3" t="s">
        <v>871</v>
      </c>
      <c r="Q220" s="3" t="s">
        <v>872</v>
      </c>
      <c r="R220" s="2"/>
      <c r="S220" s="2"/>
      <c r="T220" s="2"/>
      <c r="U220" s="2"/>
      <c r="V220" s="2"/>
      <c r="W220" s="2"/>
      <c r="X220" s="2"/>
      <c r="Y220" s="2"/>
      <c r="Z220" s="2"/>
    </row>
    <row r="221">
      <c r="A221" s="5" t="str">
        <f>IFERROR(__xludf.DUMMYFUNCTION("LEFT(A220, 4) &amp; TEXT(VALUE(REGEXEXTRACT(A220, ""\d+"")) + 1, ""0000"")"),"PSI-0219")</f>
        <v>PSI-0219</v>
      </c>
      <c r="B221" s="3" t="s">
        <v>704</v>
      </c>
      <c r="C221" s="3" t="s">
        <v>870</v>
      </c>
      <c r="D221" s="2" t="str">
        <f t="shared" si="1"/>
        <v>ESCRAVIZAR | MD</v>
      </c>
      <c r="E221" s="3" t="s">
        <v>94</v>
      </c>
      <c r="F221" s="3" t="s">
        <v>30</v>
      </c>
      <c r="G221" s="3" t="s">
        <v>329</v>
      </c>
      <c r="H221" s="3" t="s">
        <v>857</v>
      </c>
      <c r="I221" s="3">
        <v>16.0</v>
      </c>
      <c r="J221" s="3" t="s">
        <v>50</v>
      </c>
      <c r="K221" s="3" t="s">
        <v>95</v>
      </c>
      <c r="L221" s="3" t="s">
        <v>195</v>
      </c>
      <c r="M221" s="3" t="s">
        <v>821</v>
      </c>
      <c r="N221" s="3" t="s">
        <v>286</v>
      </c>
      <c r="O221" s="3" t="s">
        <v>283</v>
      </c>
      <c r="P221" s="3" t="s">
        <v>871</v>
      </c>
      <c r="Q221" s="3" t="s">
        <v>872</v>
      </c>
      <c r="R221" s="2"/>
      <c r="S221" s="2"/>
      <c r="T221" s="2"/>
      <c r="U221" s="2"/>
      <c r="V221" s="2"/>
      <c r="W221" s="2"/>
      <c r="X221" s="2"/>
      <c r="Y221" s="2"/>
      <c r="Z221" s="2"/>
    </row>
    <row r="222">
      <c r="A222" s="5" t="str">
        <f>IFERROR(__xludf.DUMMYFUNCTION("LEFT(A221, 4) &amp; TEXT(VALUE(REGEXEXTRACT(A221, ""\d+"")) + 1, ""0000"")"),"PSI-0220")</f>
        <v>PSI-0220</v>
      </c>
      <c r="B222" s="3" t="s">
        <v>704</v>
      </c>
      <c r="C222" s="3" t="s">
        <v>873</v>
      </c>
      <c r="D222" s="2" t="str">
        <f t="shared" si="1"/>
        <v>ESCRAVIZAR PERMANENTE | MD</v>
      </c>
      <c r="E222" s="3" t="s">
        <v>94</v>
      </c>
      <c r="F222" s="3" t="s">
        <v>21</v>
      </c>
      <c r="G222" s="3" t="s">
        <v>329</v>
      </c>
      <c r="H222" s="3" t="s">
        <v>874</v>
      </c>
      <c r="I222" s="3">
        <v>32.0</v>
      </c>
      <c r="J222" s="3" t="s">
        <v>131</v>
      </c>
      <c r="K222" s="3" t="s">
        <v>95</v>
      </c>
      <c r="L222" s="3" t="s">
        <v>195</v>
      </c>
      <c r="M222" s="3" t="s">
        <v>821</v>
      </c>
      <c r="N222" s="18"/>
      <c r="O222" s="19" t="s">
        <v>749</v>
      </c>
      <c r="P222" s="3" t="s">
        <v>875</v>
      </c>
      <c r="Q222" s="3" t="s">
        <v>872</v>
      </c>
      <c r="R222" s="2"/>
      <c r="S222" s="2"/>
      <c r="T222" s="2"/>
      <c r="U222" s="2"/>
      <c r="V222" s="2"/>
      <c r="W222" s="2"/>
      <c r="X222" s="2"/>
      <c r="Y222" s="2"/>
      <c r="Z222" s="2"/>
    </row>
    <row r="223">
      <c r="A223" s="5" t="str">
        <f>IFERROR(__xludf.DUMMYFUNCTION("LEFT(A222, 4) &amp; TEXT(VALUE(REGEXEXTRACT(A222, ""\d+"")) + 1, ""0000"")"),"PSI-0221")</f>
        <v>PSI-0221</v>
      </c>
      <c r="B223" s="3" t="s">
        <v>704</v>
      </c>
      <c r="C223" s="3" t="s">
        <v>873</v>
      </c>
      <c r="D223" s="2" t="str">
        <f t="shared" si="1"/>
        <v>ESCRAVIZAR PERMANENTE | MD</v>
      </c>
      <c r="E223" s="3" t="s">
        <v>94</v>
      </c>
      <c r="F223" s="3" t="s">
        <v>27</v>
      </c>
      <c r="G223" s="3" t="s">
        <v>329</v>
      </c>
      <c r="H223" s="3" t="s">
        <v>874</v>
      </c>
      <c r="I223" s="3">
        <v>32.0</v>
      </c>
      <c r="J223" s="3" t="s">
        <v>131</v>
      </c>
      <c r="K223" s="3" t="s">
        <v>95</v>
      </c>
      <c r="L223" s="3" t="s">
        <v>195</v>
      </c>
      <c r="M223" s="3" t="s">
        <v>821</v>
      </c>
      <c r="N223" s="18"/>
      <c r="O223" s="19" t="s">
        <v>749</v>
      </c>
      <c r="P223" s="3" t="s">
        <v>875</v>
      </c>
      <c r="Q223" s="3" t="s">
        <v>872</v>
      </c>
      <c r="R223" s="2"/>
      <c r="S223" s="2"/>
      <c r="T223" s="2"/>
      <c r="U223" s="2"/>
      <c r="V223" s="2"/>
      <c r="W223" s="2"/>
      <c r="X223" s="2"/>
      <c r="Y223" s="2"/>
      <c r="Z223" s="2"/>
    </row>
    <row r="224">
      <c r="A224" s="5" t="str">
        <f>IFERROR(__xludf.DUMMYFUNCTION("LEFT(A223, 4) &amp; TEXT(VALUE(REGEXEXTRACT(A223, ""\d+"")) + 1, ""0000"")"),"PSI-0222")</f>
        <v>PSI-0222</v>
      </c>
      <c r="B224" s="3" t="s">
        <v>704</v>
      </c>
      <c r="C224" s="3" t="s">
        <v>873</v>
      </c>
      <c r="D224" s="2" t="str">
        <f t="shared" si="1"/>
        <v>ESCRAVIZAR PERMANENTE | MD</v>
      </c>
      <c r="E224" s="3" t="s">
        <v>94</v>
      </c>
      <c r="F224" s="3" t="s">
        <v>28</v>
      </c>
      <c r="G224" s="3" t="s">
        <v>329</v>
      </c>
      <c r="H224" s="3" t="s">
        <v>874</v>
      </c>
      <c r="I224" s="3">
        <v>32.0</v>
      </c>
      <c r="J224" s="3" t="s">
        <v>126</v>
      </c>
      <c r="K224" s="3" t="s">
        <v>95</v>
      </c>
      <c r="L224" s="3" t="s">
        <v>195</v>
      </c>
      <c r="M224" s="3" t="s">
        <v>821</v>
      </c>
      <c r="N224" s="2"/>
      <c r="O224" s="19" t="s">
        <v>749</v>
      </c>
      <c r="P224" s="3" t="s">
        <v>875</v>
      </c>
      <c r="Q224" s="3" t="s">
        <v>872</v>
      </c>
      <c r="R224" s="2"/>
      <c r="S224" s="2"/>
      <c r="T224" s="2"/>
      <c r="U224" s="2"/>
      <c r="V224" s="2"/>
      <c r="W224" s="2"/>
      <c r="X224" s="2"/>
      <c r="Y224" s="2"/>
      <c r="Z224" s="2"/>
    </row>
    <row r="225">
      <c r="A225" s="5" t="str">
        <f>IFERROR(__xludf.DUMMYFUNCTION("LEFT(A224, 4) &amp; TEXT(VALUE(REGEXEXTRACT(A224, ""\d+"")) + 1, ""0000"")"),"PSI-0223")</f>
        <v>PSI-0223</v>
      </c>
      <c r="B225" s="3" t="s">
        <v>704</v>
      </c>
      <c r="C225" s="3" t="s">
        <v>873</v>
      </c>
      <c r="D225" s="2" t="str">
        <f t="shared" si="1"/>
        <v>ESCRAVIZAR PERMANENTE | MD</v>
      </c>
      <c r="E225" s="3" t="s">
        <v>94</v>
      </c>
      <c r="F225" s="3" t="s">
        <v>29</v>
      </c>
      <c r="G225" s="3" t="s">
        <v>329</v>
      </c>
      <c r="H225" s="3" t="s">
        <v>874</v>
      </c>
      <c r="I225" s="3">
        <v>32.0</v>
      </c>
      <c r="J225" s="3" t="s">
        <v>126</v>
      </c>
      <c r="K225" s="3" t="s">
        <v>95</v>
      </c>
      <c r="L225" s="3" t="s">
        <v>195</v>
      </c>
      <c r="M225" s="3" t="s">
        <v>821</v>
      </c>
      <c r="N225" s="2"/>
      <c r="O225" s="19" t="s">
        <v>749</v>
      </c>
      <c r="P225" s="3" t="s">
        <v>875</v>
      </c>
      <c r="Q225" s="3" t="s">
        <v>872</v>
      </c>
      <c r="R225" s="2"/>
      <c r="S225" s="2"/>
      <c r="T225" s="2"/>
      <c r="U225" s="2"/>
      <c r="V225" s="2"/>
      <c r="W225" s="2"/>
      <c r="X225" s="2"/>
      <c r="Y225" s="2"/>
      <c r="Z225" s="2"/>
    </row>
    <row r="226">
      <c r="A226" s="5" t="str">
        <f>IFERROR(__xludf.DUMMYFUNCTION("LEFT(A225, 4) &amp; TEXT(VALUE(REGEXEXTRACT(A225, ""\d+"")) + 1, ""0000"")"),"PSI-0224")</f>
        <v>PSI-0224</v>
      </c>
      <c r="B226" s="3" t="s">
        <v>704</v>
      </c>
      <c r="C226" s="3" t="s">
        <v>873</v>
      </c>
      <c r="D226" s="2" t="str">
        <f t="shared" si="1"/>
        <v>ESCRAVIZAR PERMANENTE | MD</v>
      </c>
      <c r="E226" s="3" t="s">
        <v>94</v>
      </c>
      <c r="F226" s="3" t="s">
        <v>30</v>
      </c>
      <c r="G226" s="3" t="s">
        <v>329</v>
      </c>
      <c r="H226" s="3" t="s">
        <v>874</v>
      </c>
      <c r="I226" s="3">
        <v>32.0</v>
      </c>
      <c r="J226" s="3" t="s">
        <v>50</v>
      </c>
      <c r="K226" s="3" t="s">
        <v>95</v>
      </c>
      <c r="L226" s="3" t="s">
        <v>195</v>
      </c>
      <c r="M226" s="3" t="s">
        <v>821</v>
      </c>
      <c r="N226" s="2"/>
      <c r="O226" s="19" t="s">
        <v>749</v>
      </c>
      <c r="P226" s="3" t="s">
        <v>875</v>
      </c>
      <c r="Q226" s="3" t="s">
        <v>872</v>
      </c>
      <c r="R226" s="2"/>
      <c r="S226" s="2"/>
      <c r="T226" s="2"/>
      <c r="U226" s="2"/>
      <c r="V226" s="2"/>
      <c r="W226" s="2"/>
      <c r="X226" s="2"/>
      <c r="Y226" s="2"/>
      <c r="Z226" s="2"/>
    </row>
    <row r="227">
      <c r="A227" s="5" t="str">
        <f>IFERROR(__xludf.DUMMYFUNCTION("LEFT(A226, 4) &amp; TEXT(VALUE(REGEXEXTRACT(A226, ""\d+"")) + 1, ""0000"")"),"PSI-0225")</f>
        <v>PSI-0225</v>
      </c>
      <c r="B227" s="3" t="s">
        <v>704</v>
      </c>
      <c r="C227" s="3" t="s">
        <v>876</v>
      </c>
      <c r="D227" s="2" t="str">
        <f t="shared" si="1"/>
        <v>ATORDOAMENTO MENTAL | M</v>
      </c>
      <c r="E227" s="3" t="s">
        <v>48</v>
      </c>
      <c r="F227" s="3" t="s">
        <v>21</v>
      </c>
      <c r="G227" s="3" t="s">
        <v>317</v>
      </c>
      <c r="H227" s="3" t="s">
        <v>33</v>
      </c>
      <c r="I227" s="3">
        <v>4.0</v>
      </c>
      <c r="J227" s="3" t="s">
        <v>23</v>
      </c>
      <c r="K227" s="3" t="s">
        <v>95</v>
      </c>
      <c r="L227" s="6" t="s">
        <v>65</v>
      </c>
      <c r="M227" s="3" t="s">
        <v>124</v>
      </c>
      <c r="N227" s="3" t="s">
        <v>125</v>
      </c>
      <c r="O227" s="3" t="s">
        <v>126</v>
      </c>
      <c r="P227" s="3" t="s">
        <v>877</v>
      </c>
      <c r="Q227" s="3" t="s">
        <v>878</v>
      </c>
      <c r="R227" s="2"/>
      <c r="S227" s="2"/>
      <c r="T227" s="2"/>
      <c r="U227" s="2"/>
      <c r="V227" s="2"/>
      <c r="W227" s="2"/>
      <c r="X227" s="2"/>
      <c r="Y227" s="2"/>
      <c r="Z227" s="2"/>
    </row>
    <row r="228">
      <c r="A228" s="5" t="str">
        <f>IFERROR(__xludf.DUMMYFUNCTION("LEFT(A227, 4) &amp; TEXT(VALUE(REGEXEXTRACT(A227, ""\d+"")) + 1, ""0000"")"),"PSI-0226")</f>
        <v>PSI-0226</v>
      </c>
      <c r="B228" s="3" t="s">
        <v>704</v>
      </c>
      <c r="C228" s="3" t="s">
        <v>876</v>
      </c>
      <c r="D228" s="2" t="str">
        <f t="shared" si="1"/>
        <v>ATORDOAMENTO MENTAL | M</v>
      </c>
      <c r="E228" s="3" t="s">
        <v>48</v>
      </c>
      <c r="F228" s="3" t="s">
        <v>27</v>
      </c>
      <c r="G228" s="3" t="s">
        <v>317</v>
      </c>
      <c r="H228" s="3" t="s">
        <v>33</v>
      </c>
      <c r="I228" s="3">
        <v>4.0</v>
      </c>
      <c r="J228" s="3" t="s">
        <v>23</v>
      </c>
      <c r="K228" s="3" t="s">
        <v>95</v>
      </c>
      <c r="L228" s="6" t="s">
        <v>35</v>
      </c>
      <c r="M228" s="3" t="s">
        <v>124</v>
      </c>
      <c r="N228" s="3" t="s">
        <v>128</v>
      </c>
      <c r="O228" s="3" t="s">
        <v>126</v>
      </c>
      <c r="P228" s="3" t="s">
        <v>877</v>
      </c>
      <c r="Q228" s="3" t="s">
        <v>878</v>
      </c>
      <c r="R228" s="2"/>
      <c r="S228" s="2"/>
      <c r="T228" s="2"/>
      <c r="U228" s="2"/>
      <c r="V228" s="2"/>
      <c r="W228" s="2"/>
      <c r="X228" s="2"/>
      <c r="Y228" s="2"/>
      <c r="Z228" s="2"/>
    </row>
    <row r="229">
      <c r="A229" s="5" t="str">
        <f>IFERROR(__xludf.DUMMYFUNCTION("LEFT(A228, 4) &amp; TEXT(VALUE(REGEXEXTRACT(A228, ""\d+"")) + 1, ""0000"")"),"PSI-0227")</f>
        <v>PSI-0227</v>
      </c>
      <c r="B229" s="3" t="s">
        <v>704</v>
      </c>
      <c r="C229" s="3" t="s">
        <v>876</v>
      </c>
      <c r="D229" s="2" t="str">
        <f t="shared" si="1"/>
        <v>ATORDOAMENTO MENTAL | M</v>
      </c>
      <c r="E229" s="3" t="s">
        <v>48</v>
      </c>
      <c r="F229" s="3" t="s">
        <v>28</v>
      </c>
      <c r="G229" s="3" t="s">
        <v>317</v>
      </c>
      <c r="H229" s="3" t="s">
        <v>33</v>
      </c>
      <c r="I229" s="3">
        <v>4.0</v>
      </c>
      <c r="J229" s="3" t="s">
        <v>23</v>
      </c>
      <c r="K229" s="3" t="s">
        <v>95</v>
      </c>
      <c r="L229" s="6" t="s">
        <v>70</v>
      </c>
      <c r="M229" s="3" t="s">
        <v>124</v>
      </c>
      <c r="N229" s="3" t="s">
        <v>130</v>
      </c>
      <c r="O229" s="3" t="s">
        <v>131</v>
      </c>
      <c r="P229" s="3" t="s">
        <v>877</v>
      </c>
      <c r="Q229" s="3" t="s">
        <v>878</v>
      </c>
      <c r="R229" s="2"/>
      <c r="S229" s="2"/>
      <c r="T229" s="2"/>
      <c r="U229" s="2"/>
      <c r="V229" s="2"/>
      <c r="W229" s="2"/>
      <c r="X229" s="2"/>
      <c r="Y229" s="2"/>
      <c r="Z229" s="2"/>
    </row>
    <row r="230">
      <c r="A230" s="5" t="str">
        <f>IFERROR(__xludf.DUMMYFUNCTION("LEFT(A229, 4) &amp; TEXT(VALUE(REGEXEXTRACT(A229, ""\d+"")) + 1, ""0000"")"),"PSI-0228")</f>
        <v>PSI-0228</v>
      </c>
      <c r="B230" s="3" t="s">
        <v>704</v>
      </c>
      <c r="C230" s="3" t="s">
        <v>876</v>
      </c>
      <c r="D230" s="2" t="str">
        <f t="shared" si="1"/>
        <v>ATORDOAMENTO MENTAL | M</v>
      </c>
      <c r="E230" s="3" t="s">
        <v>48</v>
      </c>
      <c r="F230" s="3" t="s">
        <v>29</v>
      </c>
      <c r="G230" s="3" t="s">
        <v>317</v>
      </c>
      <c r="H230" s="3" t="s">
        <v>33</v>
      </c>
      <c r="I230" s="3">
        <v>4.0</v>
      </c>
      <c r="J230" s="3" t="s">
        <v>23</v>
      </c>
      <c r="K230" s="3" t="s">
        <v>95</v>
      </c>
      <c r="L230" s="6" t="s">
        <v>72</v>
      </c>
      <c r="M230" s="3" t="s">
        <v>124</v>
      </c>
      <c r="N230" s="3" t="s">
        <v>133</v>
      </c>
      <c r="O230" s="3" t="s">
        <v>131</v>
      </c>
      <c r="P230" s="3" t="s">
        <v>877</v>
      </c>
      <c r="Q230" s="3" t="s">
        <v>878</v>
      </c>
      <c r="R230" s="2"/>
      <c r="S230" s="2"/>
      <c r="T230" s="2"/>
      <c r="U230" s="2"/>
      <c r="V230" s="2"/>
      <c r="W230" s="2"/>
      <c r="X230" s="2"/>
      <c r="Y230" s="2"/>
      <c r="Z230" s="2"/>
    </row>
    <row r="231">
      <c r="A231" s="5" t="str">
        <f>IFERROR(__xludf.DUMMYFUNCTION("LEFT(A230, 4) &amp; TEXT(VALUE(REGEXEXTRACT(A230, ""\d+"")) + 1, ""0000"")"),"PSI-0229")</f>
        <v>PSI-0229</v>
      </c>
      <c r="B231" s="3" t="s">
        <v>704</v>
      </c>
      <c r="C231" s="3" t="s">
        <v>876</v>
      </c>
      <c r="D231" s="2" t="str">
        <f t="shared" si="1"/>
        <v>ATORDOAMENTO MENTAL | M</v>
      </c>
      <c r="E231" s="3" t="s">
        <v>48</v>
      </c>
      <c r="F231" s="3" t="s">
        <v>30</v>
      </c>
      <c r="G231" s="3" t="s">
        <v>317</v>
      </c>
      <c r="H231" s="3" t="s">
        <v>33</v>
      </c>
      <c r="I231" s="3">
        <v>4.0</v>
      </c>
      <c r="J231" s="3" t="s">
        <v>23</v>
      </c>
      <c r="K231" s="3" t="s">
        <v>95</v>
      </c>
      <c r="L231" s="6" t="s">
        <v>39</v>
      </c>
      <c r="M231" s="3" t="s">
        <v>124</v>
      </c>
      <c r="N231" s="3" t="s">
        <v>133</v>
      </c>
      <c r="O231" s="3" t="s">
        <v>790</v>
      </c>
      <c r="P231" s="3" t="s">
        <v>877</v>
      </c>
      <c r="Q231" s="3" t="s">
        <v>878</v>
      </c>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25"/>
    <col customWidth="1" min="2" max="2" width="9.38"/>
    <col customWidth="1" min="3" max="3" width="8.0"/>
    <col customWidth="1" min="4" max="4" width="10.13"/>
    <col customWidth="1" min="5" max="5" width="9.13"/>
    <col customWidth="1" min="6" max="6" width="7.25"/>
    <col customWidth="1" min="7" max="7" width="7.63"/>
    <col customWidth="1" min="8" max="8" width="11.75"/>
    <col customWidth="1" min="9" max="9" width="6.75"/>
    <col customWidth="1" min="10" max="10" width="9.63"/>
    <col customWidth="1" min="11" max="11" width="10.63"/>
    <col customWidth="1" min="12" max="12" width="7.5"/>
    <col customWidth="1" min="13" max="13" width="10.5"/>
    <col customWidth="1" min="14" max="14" width="8.38"/>
    <col customWidth="1" min="15" max="15" width="9.0"/>
    <col customWidth="1" min="16" max="16" width="27.38"/>
    <col customWidth="1" min="17" max="17" width="3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16" t="s">
        <v>879</v>
      </c>
      <c r="B2" s="3" t="s">
        <v>880</v>
      </c>
      <c r="C2" s="3" t="s">
        <v>195</v>
      </c>
      <c r="D2" s="2" t="str">
        <f t="shared" ref="D2:D146" si="1">UPPER(CONCATENATE(C2, " | ",E2))</f>
        <v>TOQUE | F</v>
      </c>
      <c r="E2" s="3" t="s">
        <v>20</v>
      </c>
      <c r="F2" s="3" t="s">
        <v>21</v>
      </c>
      <c r="G2" s="3" t="s">
        <v>77</v>
      </c>
      <c r="H2" s="3" t="s">
        <v>33</v>
      </c>
      <c r="I2" s="3">
        <v>2.0</v>
      </c>
      <c r="J2" s="3" t="s">
        <v>23</v>
      </c>
      <c r="K2" s="3" t="s">
        <v>95</v>
      </c>
      <c r="L2" s="6" t="s">
        <v>65</v>
      </c>
      <c r="M2" s="3" t="s">
        <v>66</v>
      </c>
      <c r="N2" s="3" t="s">
        <v>36</v>
      </c>
      <c r="O2" s="3" t="s">
        <v>23</v>
      </c>
      <c r="P2" s="3" t="s">
        <v>881</v>
      </c>
      <c r="Q2" s="3" t="s">
        <v>882</v>
      </c>
      <c r="R2" s="2"/>
      <c r="S2" s="2"/>
      <c r="T2" s="2"/>
      <c r="U2" s="2"/>
      <c r="V2" s="2"/>
      <c r="W2" s="2"/>
      <c r="X2" s="2"/>
      <c r="Y2" s="2"/>
    </row>
    <row r="3">
      <c r="A3" s="5" t="str">
        <f>IFERROR(__xludf.DUMMYFUNCTION("LEFT(A2, 4) &amp; TEXT(VALUE(REGEXEXTRACT(A2, ""\d+"")) + 1, ""0000"")"),"SOM-0001")</f>
        <v>SOM-0001</v>
      </c>
      <c r="B3" s="3" t="s">
        <v>880</v>
      </c>
      <c r="C3" s="3" t="s">
        <v>195</v>
      </c>
      <c r="D3" s="2" t="str">
        <f t="shared" si="1"/>
        <v>TOQUE | F</v>
      </c>
      <c r="E3" s="3" t="s">
        <v>20</v>
      </c>
      <c r="F3" s="3" t="s">
        <v>27</v>
      </c>
      <c r="G3" s="3" t="s">
        <v>77</v>
      </c>
      <c r="H3" s="3" t="s">
        <v>33</v>
      </c>
      <c r="I3" s="3">
        <v>2.0</v>
      </c>
      <c r="J3" s="3" t="s">
        <v>23</v>
      </c>
      <c r="K3" s="3" t="s">
        <v>95</v>
      </c>
      <c r="L3" s="6" t="s">
        <v>35</v>
      </c>
      <c r="M3" s="3" t="s">
        <v>66</v>
      </c>
      <c r="N3" s="3" t="s">
        <v>36</v>
      </c>
      <c r="O3" s="3" t="s">
        <v>23</v>
      </c>
      <c r="P3" s="3" t="s">
        <v>881</v>
      </c>
      <c r="Q3" s="3" t="s">
        <v>882</v>
      </c>
      <c r="R3" s="2"/>
      <c r="S3" s="2"/>
      <c r="T3" s="2"/>
      <c r="U3" s="2"/>
      <c r="V3" s="2"/>
      <c r="W3" s="2"/>
      <c r="X3" s="2"/>
      <c r="Y3" s="2"/>
    </row>
    <row r="4">
      <c r="A4" s="5" t="str">
        <f>IFERROR(__xludf.DUMMYFUNCTION("LEFT(A3, 4) &amp; TEXT(VALUE(REGEXEXTRACT(A3, ""\d+"")) + 1, ""0000"")"),"SOM-0002")</f>
        <v>SOM-0002</v>
      </c>
      <c r="B4" s="3" t="s">
        <v>880</v>
      </c>
      <c r="C4" s="3" t="s">
        <v>195</v>
      </c>
      <c r="D4" s="2" t="str">
        <f t="shared" si="1"/>
        <v>TOQUE | F</v>
      </c>
      <c r="E4" s="3" t="s">
        <v>20</v>
      </c>
      <c r="F4" s="3" t="s">
        <v>28</v>
      </c>
      <c r="G4" s="3" t="s">
        <v>77</v>
      </c>
      <c r="H4" s="3" t="s">
        <v>33</v>
      </c>
      <c r="I4" s="3">
        <v>2.0</v>
      </c>
      <c r="J4" s="3" t="s">
        <v>23</v>
      </c>
      <c r="K4" s="3" t="s">
        <v>95</v>
      </c>
      <c r="L4" s="6" t="s">
        <v>70</v>
      </c>
      <c r="M4" s="3" t="s">
        <v>66</v>
      </c>
      <c r="N4" s="3" t="s">
        <v>40</v>
      </c>
      <c r="O4" s="3" t="s">
        <v>23</v>
      </c>
      <c r="P4" s="3" t="s">
        <v>881</v>
      </c>
      <c r="Q4" s="3" t="s">
        <v>882</v>
      </c>
      <c r="R4" s="2"/>
      <c r="S4" s="2"/>
      <c r="T4" s="2"/>
      <c r="U4" s="2"/>
      <c r="V4" s="2"/>
      <c r="W4" s="2"/>
      <c r="X4" s="2"/>
      <c r="Y4" s="2"/>
    </row>
    <row r="5">
      <c r="A5" s="5" t="str">
        <f>IFERROR(__xludf.DUMMYFUNCTION("LEFT(A4, 4) &amp; TEXT(VALUE(REGEXEXTRACT(A4, ""\d+"")) + 1, ""0000"")"),"SOM-0003")</f>
        <v>SOM-0003</v>
      </c>
      <c r="B5" s="3" t="s">
        <v>880</v>
      </c>
      <c r="C5" s="3" t="s">
        <v>195</v>
      </c>
      <c r="D5" s="2" t="str">
        <f t="shared" si="1"/>
        <v>TOQUE | F</v>
      </c>
      <c r="E5" s="3" t="s">
        <v>20</v>
      </c>
      <c r="F5" s="3" t="s">
        <v>29</v>
      </c>
      <c r="G5" s="3" t="s">
        <v>77</v>
      </c>
      <c r="H5" s="3" t="s">
        <v>33</v>
      </c>
      <c r="I5" s="3">
        <v>2.0</v>
      </c>
      <c r="J5" s="3" t="s">
        <v>23</v>
      </c>
      <c r="K5" s="3" t="s">
        <v>95</v>
      </c>
      <c r="L5" s="6" t="s">
        <v>72</v>
      </c>
      <c r="M5" s="3" t="s">
        <v>66</v>
      </c>
      <c r="N5" s="3" t="s">
        <v>575</v>
      </c>
      <c r="O5" s="3" t="s">
        <v>23</v>
      </c>
      <c r="P5" s="3" t="s">
        <v>881</v>
      </c>
      <c r="Q5" s="3" t="s">
        <v>882</v>
      </c>
      <c r="R5" s="2"/>
      <c r="S5" s="2"/>
      <c r="T5" s="2"/>
      <c r="U5" s="2"/>
      <c r="V5" s="2"/>
      <c r="W5" s="2"/>
      <c r="X5" s="2"/>
      <c r="Y5" s="2"/>
    </row>
    <row r="6">
      <c r="A6" s="5" t="str">
        <f>IFERROR(__xludf.DUMMYFUNCTION("LEFT(A5, 4) &amp; TEXT(VALUE(REGEXEXTRACT(A5, ""\d+"")) + 1, ""0000"")"),"SOM-0004")</f>
        <v>SOM-0004</v>
      </c>
      <c r="B6" s="3" t="s">
        <v>880</v>
      </c>
      <c r="C6" s="3" t="s">
        <v>195</v>
      </c>
      <c r="D6" s="2" t="str">
        <f t="shared" si="1"/>
        <v>TOQUE | F</v>
      </c>
      <c r="E6" s="3" t="s">
        <v>20</v>
      </c>
      <c r="F6" s="3" t="s">
        <v>30</v>
      </c>
      <c r="G6" s="3" t="s">
        <v>77</v>
      </c>
      <c r="H6" s="3" t="s">
        <v>33</v>
      </c>
      <c r="I6" s="3">
        <v>2.0</v>
      </c>
      <c r="J6" s="3" t="s">
        <v>23</v>
      </c>
      <c r="K6" s="3" t="s">
        <v>95</v>
      </c>
      <c r="L6" s="6" t="s">
        <v>39</v>
      </c>
      <c r="M6" s="3" t="s">
        <v>66</v>
      </c>
      <c r="N6" s="3" t="s">
        <v>43</v>
      </c>
      <c r="O6" s="3" t="s">
        <v>23</v>
      </c>
      <c r="P6" s="3" t="s">
        <v>881</v>
      </c>
      <c r="Q6" s="3" t="s">
        <v>882</v>
      </c>
      <c r="R6" s="2"/>
      <c r="S6" s="2"/>
      <c r="T6" s="2"/>
      <c r="U6" s="2"/>
      <c r="V6" s="2"/>
      <c r="W6" s="2"/>
      <c r="X6" s="2"/>
      <c r="Y6" s="2"/>
    </row>
    <row r="7">
      <c r="A7" s="5" t="str">
        <f>IFERROR(__xludf.DUMMYFUNCTION("LEFT(A6, 4) &amp; TEXT(VALUE(REGEXEXTRACT(A6, ""\d+"")) + 1, ""0000"")"),"SOM-0005")</f>
        <v>SOM-0005</v>
      </c>
      <c r="B7" s="3" t="s">
        <v>880</v>
      </c>
      <c r="C7" s="17" t="s">
        <v>883</v>
      </c>
      <c r="D7" s="2" t="str">
        <f t="shared" si="1"/>
        <v>COÇEIRA | F</v>
      </c>
      <c r="E7" s="3" t="s">
        <v>20</v>
      </c>
      <c r="F7" s="3" t="s">
        <v>21</v>
      </c>
      <c r="G7" s="3" t="s">
        <v>317</v>
      </c>
      <c r="H7" s="3" t="s">
        <v>884</v>
      </c>
      <c r="I7" s="3">
        <v>2.0</v>
      </c>
      <c r="J7" s="3" t="s">
        <v>23</v>
      </c>
      <c r="K7" s="3" t="s">
        <v>95</v>
      </c>
      <c r="L7" s="6" t="s">
        <v>65</v>
      </c>
      <c r="M7" s="3" t="s">
        <v>821</v>
      </c>
      <c r="N7" s="3" t="s">
        <v>36</v>
      </c>
      <c r="O7" s="3" t="s">
        <v>885</v>
      </c>
      <c r="P7" s="3" t="s">
        <v>886</v>
      </c>
      <c r="Q7" s="3" t="s">
        <v>887</v>
      </c>
      <c r="R7" s="2"/>
      <c r="S7" s="2"/>
      <c r="T7" s="2"/>
      <c r="U7" s="2"/>
      <c r="V7" s="2"/>
      <c r="W7" s="2"/>
      <c r="X7" s="2"/>
      <c r="Y7" s="2"/>
    </row>
    <row r="8">
      <c r="A8" s="5" t="str">
        <f>IFERROR(__xludf.DUMMYFUNCTION("LEFT(A7, 4) &amp; TEXT(VALUE(REGEXEXTRACT(A7, ""\d+"")) + 1, ""0000"")"),"SOM-0006")</f>
        <v>SOM-0006</v>
      </c>
      <c r="B8" s="3" t="s">
        <v>880</v>
      </c>
      <c r="C8" s="17" t="s">
        <v>883</v>
      </c>
      <c r="D8" s="2" t="str">
        <f t="shared" si="1"/>
        <v>COÇEIRA | F</v>
      </c>
      <c r="E8" s="3" t="s">
        <v>20</v>
      </c>
      <c r="F8" s="3" t="s">
        <v>27</v>
      </c>
      <c r="G8" s="3" t="s">
        <v>317</v>
      </c>
      <c r="H8" s="3" t="s">
        <v>884</v>
      </c>
      <c r="I8" s="3">
        <v>2.0</v>
      </c>
      <c r="J8" s="3" t="s">
        <v>23</v>
      </c>
      <c r="K8" s="3" t="s">
        <v>95</v>
      </c>
      <c r="L8" s="6" t="s">
        <v>35</v>
      </c>
      <c r="M8" s="3" t="s">
        <v>821</v>
      </c>
      <c r="N8" s="3" t="s">
        <v>36</v>
      </c>
      <c r="O8" s="3" t="s">
        <v>885</v>
      </c>
      <c r="P8" s="3" t="s">
        <v>888</v>
      </c>
      <c r="Q8" s="3" t="s">
        <v>887</v>
      </c>
      <c r="R8" s="2"/>
      <c r="S8" s="2"/>
      <c r="T8" s="2"/>
      <c r="U8" s="2"/>
      <c r="V8" s="2"/>
      <c r="W8" s="2"/>
      <c r="X8" s="2"/>
      <c r="Y8" s="2"/>
    </row>
    <row r="9">
      <c r="A9" s="5" t="str">
        <f>IFERROR(__xludf.DUMMYFUNCTION("LEFT(A8, 4) &amp; TEXT(VALUE(REGEXEXTRACT(A8, ""\d+"")) + 1, ""0000"")"),"SOM-0007")</f>
        <v>SOM-0007</v>
      </c>
      <c r="B9" s="3" t="s">
        <v>880</v>
      </c>
      <c r="C9" s="17" t="s">
        <v>883</v>
      </c>
      <c r="D9" s="2" t="str">
        <f t="shared" si="1"/>
        <v>COÇEIRA | F</v>
      </c>
      <c r="E9" s="3" t="s">
        <v>20</v>
      </c>
      <c r="F9" s="3" t="s">
        <v>28</v>
      </c>
      <c r="G9" s="3" t="s">
        <v>317</v>
      </c>
      <c r="H9" s="3" t="s">
        <v>884</v>
      </c>
      <c r="I9" s="3">
        <v>2.0</v>
      </c>
      <c r="J9" s="3" t="s">
        <v>23</v>
      </c>
      <c r="K9" s="3" t="s">
        <v>95</v>
      </c>
      <c r="L9" s="6" t="s">
        <v>70</v>
      </c>
      <c r="M9" s="3" t="s">
        <v>821</v>
      </c>
      <c r="N9" s="3" t="s">
        <v>40</v>
      </c>
      <c r="O9" s="3" t="s">
        <v>885</v>
      </c>
      <c r="P9" s="3" t="s">
        <v>889</v>
      </c>
      <c r="Q9" s="3" t="s">
        <v>887</v>
      </c>
      <c r="R9" s="2"/>
      <c r="S9" s="2"/>
      <c r="T9" s="2"/>
      <c r="U9" s="2"/>
      <c r="V9" s="2"/>
      <c r="W9" s="2"/>
      <c r="X9" s="2"/>
      <c r="Y9" s="2"/>
    </row>
    <row r="10">
      <c r="A10" s="5" t="str">
        <f>IFERROR(__xludf.DUMMYFUNCTION("LEFT(A9, 4) &amp; TEXT(VALUE(REGEXEXTRACT(A9, ""\d+"")) + 1, ""0000"")"),"SOM-0008")</f>
        <v>SOM-0008</v>
      </c>
      <c r="B10" s="3" t="s">
        <v>880</v>
      </c>
      <c r="C10" s="17" t="s">
        <v>883</v>
      </c>
      <c r="D10" s="2" t="str">
        <f t="shared" si="1"/>
        <v>COÇEIRA | F</v>
      </c>
      <c r="E10" s="3" t="s">
        <v>20</v>
      </c>
      <c r="F10" s="3" t="s">
        <v>29</v>
      </c>
      <c r="G10" s="3" t="s">
        <v>317</v>
      </c>
      <c r="H10" s="3" t="s">
        <v>884</v>
      </c>
      <c r="I10" s="3">
        <v>2.0</v>
      </c>
      <c r="J10" s="3" t="s">
        <v>23</v>
      </c>
      <c r="K10" s="3" t="s">
        <v>95</v>
      </c>
      <c r="L10" s="6" t="s">
        <v>72</v>
      </c>
      <c r="M10" s="3" t="s">
        <v>821</v>
      </c>
      <c r="N10" s="3" t="s">
        <v>575</v>
      </c>
      <c r="O10" s="3" t="s">
        <v>885</v>
      </c>
      <c r="P10" s="3" t="s">
        <v>890</v>
      </c>
      <c r="Q10" s="3" t="s">
        <v>887</v>
      </c>
      <c r="R10" s="2"/>
      <c r="S10" s="2"/>
      <c r="T10" s="2"/>
      <c r="U10" s="2"/>
      <c r="V10" s="2"/>
      <c r="W10" s="2"/>
      <c r="X10" s="2"/>
      <c r="Y10" s="2"/>
    </row>
    <row r="11">
      <c r="A11" s="5" t="str">
        <f>IFERROR(__xludf.DUMMYFUNCTION("LEFT(A10, 4) &amp; TEXT(VALUE(REGEXEXTRACT(A10, ""\d+"")) + 1, ""0000"")"),"SOM-0009")</f>
        <v>SOM-0009</v>
      </c>
      <c r="B11" s="3" t="s">
        <v>880</v>
      </c>
      <c r="C11" s="17" t="s">
        <v>883</v>
      </c>
      <c r="D11" s="2" t="str">
        <f t="shared" si="1"/>
        <v>COÇEIRA | F</v>
      </c>
      <c r="E11" s="3" t="s">
        <v>20</v>
      </c>
      <c r="F11" s="3" t="s">
        <v>30</v>
      </c>
      <c r="G11" s="3" t="s">
        <v>317</v>
      </c>
      <c r="H11" s="3" t="s">
        <v>884</v>
      </c>
      <c r="I11" s="3">
        <v>2.0</v>
      </c>
      <c r="J11" s="3" t="s">
        <v>23</v>
      </c>
      <c r="K11" s="3" t="s">
        <v>95</v>
      </c>
      <c r="L11" s="6" t="s">
        <v>39</v>
      </c>
      <c r="M11" s="3" t="s">
        <v>821</v>
      </c>
      <c r="N11" s="3" t="s">
        <v>43</v>
      </c>
      <c r="O11" s="3" t="s">
        <v>885</v>
      </c>
      <c r="P11" s="3" t="s">
        <v>891</v>
      </c>
      <c r="Q11" s="3" t="s">
        <v>887</v>
      </c>
      <c r="R11" s="2"/>
      <c r="S11" s="2"/>
      <c r="T11" s="2"/>
      <c r="U11" s="2"/>
      <c r="V11" s="2"/>
      <c r="W11" s="2"/>
      <c r="X11" s="2"/>
      <c r="Y11" s="2"/>
    </row>
    <row r="12">
      <c r="A12" s="5" t="str">
        <f>IFERROR(__xludf.DUMMYFUNCTION("LEFT(A11, 4) &amp; TEXT(VALUE(REGEXEXTRACT(A11, ""\d+"")) + 1, ""0000"")"),"SOM-0010")</f>
        <v>SOM-0010</v>
      </c>
      <c r="B12" s="3" t="s">
        <v>880</v>
      </c>
      <c r="C12" s="3" t="s">
        <v>892</v>
      </c>
      <c r="D12" s="2" t="str">
        <f t="shared" si="1"/>
        <v>CÓCEGAS | F</v>
      </c>
      <c r="E12" s="3" t="s">
        <v>20</v>
      </c>
      <c r="F12" s="3" t="s">
        <v>21</v>
      </c>
      <c r="G12" s="3" t="s">
        <v>317</v>
      </c>
      <c r="H12" s="3" t="s">
        <v>884</v>
      </c>
      <c r="I12" s="3">
        <v>2.0</v>
      </c>
      <c r="J12" s="3" t="s">
        <v>23</v>
      </c>
      <c r="K12" s="3" t="s">
        <v>95</v>
      </c>
      <c r="L12" s="6" t="s">
        <v>65</v>
      </c>
      <c r="M12" s="3" t="s">
        <v>821</v>
      </c>
      <c r="N12" s="3" t="s">
        <v>125</v>
      </c>
      <c r="O12" s="3" t="s">
        <v>126</v>
      </c>
      <c r="P12" s="3" t="s">
        <v>893</v>
      </c>
      <c r="Q12" s="3" t="s">
        <v>894</v>
      </c>
      <c r="R12" s="2"/>
      <c r="S12" s="2"/>
      <c r="T12" s="2"/>
      <c r="U12" s="2"/>
      <c r="V12" s="2"/>
      <c r="W12" s="2"/>
      <c r="X12" s="2"/>
      <c r="Y12" s="2"/>
    </row>
    <row r="13">
      <c r="A13" s="5" t="str">
        <f>IFERROR(__xludf.DUMMYFUNCTION("LEFT(A12, 4) &amp; TEXT(VALUE(REGEXEXTRACT(A12, ""\d+"")) + 1, ""0000"")"),"SOM-0011")</f>
        <v>SOM-0011</v>
      </c>
      <c r="B13" s="3" t="s">
        <v>880</v>
      </c>
      <c r="C13" s="3" t="s">
        <v>892</v>
      </c>
      <c r="D13" s="2" t="str">
        <f t="shared" si="1"/>
        <v>CÓCEGAS | F</v>
      </c>
      <c r="E13" s="3" t="s">
        <v>20</v>
      </c>
      <c r="F13" s="3" t="s">
        <v>27</v>
      </c>
      <c r="G13" s="3" t="s">
        <v>317</v>
      </c>
      <c r="H13" s="3" t="s">
        <v>884</v>
      </c>
      <c r="I13" s="3">
        <v>2.0</v>
      </c>
      <c r="J13" s="3" t="s">
        <v>23</v>
      </c>
      <c r="K13" s="3" t="s">
        <v>95</v>
      </c>
      <c r="L13" s="6" t="s">
        <v>35</v>
      </c>
      <c r="M13" s="3" t="s">
        <v>821</v>
      </c>
      <c r="N13" s="3" t="s">
        <v>128</v>
      </c>
      <c r="O13" s="3" t="s">
        <v>126</v>
      </c>
      <c r="P13" s="3" t="s">
        <v>893</v>
      </c>
      <c r="Q13" s="3" t="s">
        <v>894</v>
      </c>
      <c r="R13" s="2"/>
      <c r="S13" s="2"/>
      <c r="T13" s="2"/>
      <c r="U13" s="2"/>
      <c r="V13" s="2"/>
      <c r="W13" s="2"/>
      <c r="X13" s="2"/>
      <c r="Y13" s="2"/>
    </row>
    <row r="14">
      <c r="A14" s="5" t="str">
        <f>IFERROR(__xludf.DUMMYFUNCTION("LEFT(A13, 4) &amp; TEXT(VALUE(REGEXEXTRACT(A13, ""\d+"")) + 1, ""0000"")"),"SOM-0012")</f>
        <v>SOM-0012</v>
      </c>
      <c r="B14" s="3" t="s">
        <v>880</v>
      </c>
      <c r="C14" s="3" t="s">
        <v>892</v>
      </c>
      <c r="D14" s="2" t="str">
        <f t="shared" si="1"/>
        <v>CÓCEGAS | F</v>
      </c>
      <c r="E14" s="3" t="s">
        <v>20</v>
      </c>
      <c r="F14" s="3" t="s">
        <v>28</v>
      </c>
      <c r="G14" s="3" t="s">
        <v>317</v>
      </c>
      <c r="H14" s="3" t="s">
        <v>884</v>
      </c>
      <c r="I14" s="3">
        <v>2.0</v>
      </c>
      <c r="J14" s="3" t="s">
        <v>23</v>
      </c>
      <c r="K14" s="3" t="s">
        <v>95</v>
      </c>
      <c r="L14" s="6" t="s">
        <v>70</v>
      </c>
      <c r="M14" s="3" t="s">
        <v>821</v>
      </c>
      <c r="N14" s="3" t="s">
        <v>130</v>
      </c>
      <c r="O14" s="3" t="s">
        <v>131</v>
      </c>
      <c r="P14" s="3" t="s">
        <v>893</v>
      </c>
      <c r="Q14" s="3" t="s">
        <v>894</v>
      </c>
      <c r="R14" s="2"/>
      <c r="S14" s="2"/>
      <c r="T14" s="2"/>
      <c r="U14" s="2"/>
      <c r="V14" s="2"/>
      <c r="W14" s="2"/>
      <c r="X14" s="2"/>
      <c r="Y14" s="2"/>
    </row>
    <row r="15">
      <c r="A15" s="5" t="str">
        <f>IFERROR(__xludf.DUMMYFUNCTION("LEFT(A14, 4) &amp; TEXT(VALUE(REGEXEXTRACT(A14, ""\d+"")) + 1, ""0000"")"),"SOM-0013")</f>
        <v>SOM-0013</v>
      </c>
      <c r="B15" s="3" t="s">
        <v>880</v>
      </c>
      <c r="C15" s="3" t="s">
        <v>892</v>
      </c>
      <c r="D15" s="2" t="str">
        <f t="shared" si="1"/>
        <v>CÓCEGAS | F</v>
      </c>
      <c r="E15" s="3" t="s">
        <v>20</v>
      </c>
      <c r="F15" s="3" t="s">
        <v>29</v>
      </c>
      <c r="G15" s="3" t="s">
        <v>317</v>
      </c>
      <c r="H15" s="3" t="s">
        <v>884</v>
      </c>
      <c r="I15" s="3">
        <v>2.0</v>
      </c>
      <c r="J15" s="3" t="s">
        <v>23</v>
      </c>
      <c r="K15" s="3" t="s">
        <v>95</v>
      </c>
      <c r="L15" s="6" t="s">
        <v>72</v>
      </c>
      <c r="M15" s="3" t="s">
        <v>821</v>
      </c>
      <c r="N15" s="3" t="s">
        <v>133</v>
      </c>
      <c r="O15" s="3" t="s">
        <v>131</v>
      </c>
      <c r="P15" s="3" t="s">
        <v>893</v>
      </c>
      <c r="Q15" s="3" t="s">
        <v>894</v>
      </c>
      <c r="R15" s="2"/>
      <c r="S15" s="2"/>
      <c r="T15" s="2"/>
      <c r="U15" s="2"/>
      <c r="V15" s="2"/>
      <c r="W15" s="2"/>
      <c r="X15" s="2"/>
      <c r="Y15" s="2"/>
    </row>
    <row r="16">
      <c r="A16" s="5" t="str">
        <f>IFERROR(__xludf.DUMMYFUNCTION("LEFT(A15, 4) &amp; TEXT(VALUE(REGEXEXTRACT(A15, ""\d+"")) + 1, ""0000"")"),"SOM-0014")</f>
        <v>SOM-0014</v>
      </c>
      <c r="B16" s="3" t="s">
        <v>880</v>
      </c>
      <c r="C16" s="3" t="s">
        <v>892</v>
      </c>
      <c r="D16" s="2" t="str">
        <f t="shared" si="1"/>
        <v>CÓCEGAS | F</v>
      </c>
      <c r="E16" s="3" t="s">
        <v>20</v>
      </c>
      <c r="F16" s="3" t="s">
        <v>30</v>
      </c>
      <c r="G16" s="3" t="s">
        <v>317</v>
      </c>
      <c r="H16" s="3" t="s">
        <v>884</v>
      </c>
      <c r="I16" s="3">
        <v>2.0</v>
      </c>
      <c r="J16" s="3" t="s">
        <v>23</v>
      </c>
      <c r="K16" s="3" t="s">
        <v>95</v>
      </c>
      <c r="L16" s="6" t="s">
        <v>39</v>
      </c>
      <c r="M16" s="3" t="s">
        <v>821</v>
      </c>
      <c r="N16" s="3" t="s">
        <v>135</v>
      </c>
      <c r="O16" s="3" t="s">
        <v>136</v>
      </c>
      <c r="P16" s="3" t="s">
        <v>893</v>
      </c>
      <c r="Q16" s="3" t="s">
        <v>894</v>
      </c>
      <c r="R16" s="2"/>
      <c r="S16" s="2"/>
      <c r="T16" s="2"/>
      <c r="U16" s="2"/>
      <c r="V16" s="2"/>
      <c r="W16" s="2"/>
      <c r="X16" s="2"/>
      <c r="Y16" s="2"/>
    </row>
    <row r="17">
      <c r="A17" s="5" t="str">
        <f>IFERROR(__xludf.DUMMYFUNCTION("LEFT(A16, 4) &amp; TEXT(VALUE(REGEXEXTRACT(A16, ""\d+"")) + 1, ""0000"")"),"SOM-0015")</f>
        <v>SOM-0015</v>
      </c>
      <c r="B17" s="3" t="s">
        <v>880</v>
      </c>
      <c r="C17" s="3" t="s">
        <v>895</v>
      </c>
      <c r="D17" s="2" t="str">
        <f t="shared" si="1"/>
        <v>ESPASMO | M</v>
      </c>
      <c r="E17" s="3" t="s">
        <v>48</v>
      </c>
      <c r="F17" s="3" t="s">
        <v>21</v>
      </c>
      <c r="G17" s="3" t="s">
        <v>317</v>
      </c>
      <c r="H17" s="3" t="s">
        <v>884</v>
      </c>
      <c r="I17" s="3">
        <v>2.0</v>
      </c>
      <c r="J17" s="3" t="s">
        <v>23</v>
      </c>
      <c r="K17" s="3" t="s">
        <v>95</v>
      </c>
      <c r="L17" s="6" t="s">
        <v>65</v>
      </c>
      <c r="M17" s="3" t="s">
        <v>821</v>
      </c>
      <c r="N17" s="3" t="s">
        <v>125</v>
      </c>
      <c r="O17" s="3" t="s">
        <v>126</v>
      </c>
      <c r="P17" s="3" t="s">
        <v>896</v>
      </c>
      <c r="Q17" s="3" t="s">
        <v>897</v>
      </c>
      <c r="R17" s="2"/>
      <c r="S17" s="2"/>
      <c r="T17" s="2"/>
      <c r="U17" s="2"/>
      <c r="V17" s="2"/>
      <c r="W17" s="2"/>
      <c r="X17" s="2"/>
      <c r="Y17" s="2"/>
    </row>
    <row r="18">
      <c r="A18" s="5" t="str">
        <f>IFERROR(__xludf.DUMMYFUNCTION("LEFT(A17, 4) &amp; TEXT(VALUE(REGEXEXTRACT(A17, ""\d+"")) + 1, ""0000"")"),"SOM-0016")</f>
        <v>SOM-0016</v>
      </c>
      <c r="B18" s="3" t="s">
        <v>880</v>
      </c>
      <c r="C18" s="3" t="s">
        <v>895</v>
      </c>
      <c r="D18" s="2" t="str">
        <f t="shared" si="1"/>
        <v>ESPASMO | M</v>
      </c>
      <c r="E18" s="3" t="s">
        <v>48</v>
      </c>
      <c r="F18" s="3" t="s">
        <v>27</v>
      </c>
      <c r="G18" s="3" t="s">
        <v>317</v>
      </c>
      <c r="H18" s="3" t="s">
        <v>884</v>
      </c>
      <c r="I18" s="3">
        <v>2.0</v>
      </c>
      <c r="J18" s="3" t="s">
        <v>23</v>
      </c>
      <c r="K18" s="3" t="s">
        <v>95</v>
      </c>
      <c r="L18" s="6" t="s">
        <v>35</v>
      </c>
      <c r="M18" s="3" t="s">
        <v>821</v>
      </c>
      <c r="N18" s="3" t="s">
        <v>128</v>
      </c>
      <c r="O18" s="3" t="s">
        <v>126</v>
      </c>
      <c r="P18" s="3" t="s">
        <v>896</v>
      </c>
      <c r="Q18" s="3" t="s">
        <v>897</v>
      </c>
      <c r="R18" s="2"/>
      <c r="S18" s="2"/>
      <c r="T18" s="2"/>
      <c r="U18" s="2"/>
      <c r="V18" s="2"/>
      <c r="W18" s="2"/>
      <c r="X18" s="2"/>
      <c r="Y18" s="2"/>
    </row>
    <row r="19">
      <c r="A19" s="5" t="str">
        <f>IFERROR(__xludf.DUMMYFUNCTION("LEFT(A18, 4) &amp; TEXT(VALUE(REGEXEXTRACT(A18, ""\d+"")) + 1, ""0000"")"),"SOM-0017")</f>
        <v>SOM-0017</v>
      </c>
      <c r="B19" s="3" t="s">
        <v>880</v>
      </c>
      <c r="C19" s="3" t="s">
        <v>895</v>
      </c>
      <c r="D19" s="2" t="str">
        <f t="shared" si="1"/>
        <v>ESPASMO | M</v>
      </c>
      <c r="E19" s="3" t="s">
        <v>48</v>
      </c>
      <c r="F19" s="3" t="s">
        <v>28</v>
      </c>
      <c r="G19" s="3" t="s">
        <v>317</v>
      </c>
      <c r="H19" s="3" t="s">
        <v>884</v>
      </c>
      <c r="I19" s="3">
        <v>2.0</v>
      </c>
      <c r="J19" s="3" t="s">
        <v>23</v>
      </c>
      <c r="K19" s="3" t="s">
        <v>95</v>
      </c>
      <c r="L19" s="6" t="s">
        <v>70</v>
      </c>
      <c r="M19" s="3" t="s">
        <v>821</v>
      </c>
      <c r="N19" s="3" t="s">
        <v>130</v>
      </c>
      <c r="O19" s="3" t="s">
        <v>131</v>
      </c>
      <c r="P19" s="3" t="s">
        <v>896</v>
      </c>
      <c r="Q19" s="3" t="s">
        <v>897</v>
      </c>
      <c r="R19" s="2"/>
      <c r="S19" s="2"/>
      <c r="T19" s="2"/>
      <c r="U19" s="2"/>
      <c r="V19" s="2"/>
      <c r="W19" s="2"/>
      <c r="X19" s="2"/>
      <c r="Y19" s="2"/>
    </row>
    <row r="20">
      <c r="A20" s="5" t="str">
        <f>IFERROR(__xludf.DUMMYFUNCTION("LEFT(A19, 4) &amp; TEXT(VALUE(REGEXEXTRACT(A19, ""\d+"")) + 1, ""0000"")"),"SOM-0018")</f>
        <v>SOM-0018</v>
      </c>
      <c r="B20" s="3" t="s">
        <v>880</v>
      </c>
      <c r="C20" s="3" t="s">
        <v>895</v>
      </c>
      <c r="D20" s="2" t="str">
        <f t="shared" si="1"/>
        <v>ESPASMO | M</v>
      </c>
      <c r="E20" s="3" t="s">
        <v>48</v>
      </c>
      <c r="F20" s="3" t="s">
        <v>29</v>
      </c>
      <c r="G20" s="3" t="s">
        <v>317</v>
      </c>
      <c r="H20" s="3" t="s">
        <v>884</v>
      </c>
      <c r="I20" s="3">
        <v>2.0</v>
      </c>
      <c r="J20" s="3" t="s">
        <v>23</v>
      </c>
      <c r="K20" s="3" t="s">
        <v>95</v>
      </c>
      <c r="L20" s="6" t="s">
        <v>72</v>
      </c>
      <c r="M20" s="3" t="s">
        <v>821</v>
      </c>
      <c r="N20" s="3" t="s">
        <v>133</v>
      </c>
      <c r="O20" s="3" t="s">
        <v>131</v>
      </c>
      <c r="P20" s="3" t="s">
        <v>896</v>
      </c>
      <c r="Q20" s="3" t="s">
        <v>897</v>
      </c>
      <c r="R20" s="2"/>
      <c r="S20" s="2"/>
      <c r="T20" s="2"/>
      <c r="U20" s="2"/>
      <c r="V20" s="2"/>
      <c r="W20" s="2"/>
      <c r="X20" s="2"/>
      <c r="Y20" s="2"/>
    </row>
    <row r="21">
      <c r="A21" s="5" t="str">
        <f>IFERROR(__xludf.DUMMYFUNCTION("LEFT(A20, 4) &amp; TEXT(VALUE(REGEXEXTRACT(A20, ""\d+"")) + 1, ""0000"")"),"SOM-0019")</f>
        <v>SOM-0019</v>
      </c>
      <c r="B21" s="3" t="s">
        <v>880</v>
      </c>
      <c r="C21" s="3" t="s">
        <v>895</v>
      </c>
      <c r="D21" s="2" t="str">
        <f t="shared" si="1"/>
        <v>ESPASMO | M</v>
      </c>
      <c r="E21" s="3" t="s">
        <v>48</v>
      </c>
      <c r="F21" s="3" t="s">
        <v>30</v>
      </c>
      <c r="G21" s="3" t="s">
        <v>317</v>
      </c>
      <c r="H21" s="3" t="s">
        <v>884</v>
      </c>
      <c r="I21" s="3">
        <v>2.0</v>
      </c>
      <c r="J21" s="3" t="s">
        <v>23</v>
      </c>
      <c r="K21" s="3" t="s">
        <v>95</v>
      </c>
      <c r="L21" s="6" t="s">
        <v>39</v>
      </c>
      <c r="M21" s="3" t="s">
        <v>821</v>
      </c>
      <c r="N21" s="3" t="s">
        <v>135</v>
      </c>
      <c r="O21" s="3" t="s">
        <v>136</v>
      </c>
      <c r="P21" s="3" t="s">
        <v>896</v>
      </c>
      <c r="Q21" s="3" t="s">
        <v>897</v>
      </c>
      <c r="R21" s="2"/>
      <c r="S21" s="2"/>
      <c r="T21" s="2"/>
      <c r="U21" s="2"/>
      <c r="V21" s="2"/>
      <c r="W21" s="2"/>
      <c r="X21" s="2"/>
      <c r="Y21" s="2"/>
    </row>
    <row r="22">
      <c r="A22" s="5" t="str">
        <f>IFERROR(__xludf.DUMMYFUNCTION("LEFT(A21, 4) &amp; TEXT(VALUE(REGEXEXTRACT(A21, ""\d+"")) + 1, ""0000"")"),"SOM-0020")</f>
        <v>SOM-0020</v>
      </c>
      <c r="B22" s="3" t="s">
        <v>880</v>
      </c>
      <c r="C22" s="3" t="s">
        <v>898</v>
      </c>
      <c r="D22" s="2" t="str">
        <f t="shared" si="1"/>
        <v>DOR | D</v>
      </c>
      <c r="E22" s="3" t="s">
        <v>76</v>
      </c>
      <c r="F22" s="3" t="s">
        <v>21</v>
      </c>
      <c r="G22" s="3" t="s">
        <v>317</v>
      </c>
      <c r="H22" s="3" t="s">
        <v>884</v>
      </c>
      <c r="I22" s="3">
        <v>8.0</v>
      </c>
      <c r="J22" s="3" t="s">
        <v>23</v>
      </c>
      <c r="K22" s="3" t="s">
        <v>95</v>
      </c>
      <c r="L22" s="6" t="s">
        <v>65</v>
      </c>
      <c r="M22" s="3" t="s">
        <v>821</v>
      </c>
      <c r="N22" s="3" t="s">
        <v>125</v>
      </c>
      <c r="O22" s="3" t="s">
        <v>126</v>
      </c>
      <c r="P22" s="3" t="s">
        <v>899</v>
      </c>
      <c r="Q22" s="3" t="s">
        <v>900</v>
      </c>
      <c r="R22" s="2"/>
      <c r="S22" s="2"/>
      <c r="T22" s="2"/>
      <c r="U22" s="2"/>
      <c r="V22" s="2"/>
      <c r="W22" s="2"/>
      <c r="X22" s="2"/>
      <c r="Y22" s="2"/>
    </row>
    <row r="23">
      <c r="A23" s="5" t="str">
        <f>IFERROR(__xludf.DUMMYFUNCTION("LEFT(A22, 4) &amp; TEXT(VALUE(REGEXEXTRACT(A22, ""\d+"")) + 1, ""0000"")"),"SOM-0021")</f>
        <v>SOM-0021</v>
      </c>
      <c r="B23" s="3" t="s">
        <v>880</v>
      </c>
      <c r="C23" s="3" t="s">
        <v>898</v>
      </c>
      <c r="D23" s="2" t="str">
        <f t="shared" si="1"/>
        <v>DOR | D</v>
      </c>
      <c r="E23" s="3" t="s">
        <v>76</v>
      </c>
      <c r="F23" s="3" t="s">
        <v>27</v>
      </c>
      <c r="G23" s="3" t="s">
        <v>317</v>
      </c>
      <c r="H23" s="3" t="s">
        <v>884</v>
      </c>
      <c r="I23" s="3">
        <v>8.0</v>
      </c>
      <c r="J23" s="3" t="s">
        <v>23</v>
      </c>
      <c r="K23" s="3" t="s">
        <v>95</v>
      </c>
      <c r="L23" s="6" t="s">
        <v>35</v>
      </c>
      <c r="M23" s="3" t="s">
        <v>821</v>
      </c>
      <c r="N23" s="3" t="s">
        <v>128</v>
      </c>
      <c r="O23" s="3" t="s">
        <v>126</v>
      </c>
      <c r="P23" s="3" t="s">
        <v>899</v>
      </c>
      <c r="Q23" s="3" t="s">
        <v>900</v>
      </c>
      <c r="R23" s="2"/>
      <c r="S23" s="2"/>
      <c r="T23" s="2"/>
      <c r="U23" s="2"/>
      <c r="V23" s="2"/>
      <c r="W23" s="2"/>
      <c r="X23" s="2"/>
      <c r="Y23" s="2"/>
    </row>
    <row r="24">
      <c r="A24" s="5" t="str">
        <f>IFERROR(__xludf.DUMMYFUNCTION("LEFT(A23, 4) &amp; TEXT(VALUE(REGEXEXTRACT(A23, ""\d+"")) + 1, ""0000"")"),"SOM-0022")</f>
        <v>SOM-0022</v>
      </c>
      <c r="B24" s="3" t="s">
        <v>880</v>
      </c>
      <c r="C24" s="3" t="s">
        <v>898</v>
      </c>
      <c r="D24" s="2" t="str">
        <f t="shared" si="1"/>
        <v>DOR | D</v>
      </c>
      <c r="E24" s="3" t="s">
        <v>76</v>
      </c>
      <c r="F24" s="3" t="s">
        <v>28</v>
      </c>
      <c r="G24" s="3" t="s">
        <v>317</v>
      </c>
      <c r="H24" s="3" t="s">
        <v>884</v>
      </c>
      <c r="I24" s="3">
        <v>8.0</v>
      </c>
      <c r="J24" s="3" t="s">
        <v>23</v>
      </c>
      <c r="K24" s="3" t="s">
        <v>95</v>
      </c>
      <c r="L24" s="6" t="s">
        <v>70</v>
      </c>
      <c r="M24" s="3" t="s">
        <v>821</v>
      </c>
      <c r="N24" s="3" t="s">
        <v>130</v>
      </c>
      <c r="O24" s="3" t="s">
        <v>131</v>
      </c>
      <c r="P24" s="3" t="s">
        <v>899</v>
      </c>
      <c r="Q24" s="3" t="s">
        <v>900</v>
      </c>
      <c r="R24" s="2"/>
      <c r="S24" s="2"/>
      <c r="T24" s="2"/>
      <c r="U24" s="2"/>
      <c r="V24" s="2"/>
      <c r="W24" s="2"/>
      <c r="X24" s="2"/>
      <c r="Y24" s="2"/>
    </row>
    <row r="25">
      <c r="A25" s="5" t="str">
        <f>IFERROR(__xludf.DUMMYFUNCTION("LEFT(A24, 4) &amp; TEXT(VALUE(REGEXEXTRACT(A24, ""\d+"")) + 1, ""0000"")"),"SOM-0023")</f>
        <v>SOM-0023</v>
      </c>
      <c r="B25" s="3" t="s">
        <v>880</v>
      </c>
      <c r="C25" s="3" t="s">
        <v>898</v>
      </c>
      <c r="D25" s="2" t="str">
        <f t="shared" si="1"/>
        <v>DOR | D</v>
      </c>
      <c r="E25" s="3" t="s">
        <v>76</v>
      </c>
      <c r="F25" s="3" t="s">
        <v>29</v>
      </c>
      <c r="G25" s="3" t="s">
        <v>317</v>
      </c>
      <c r="H25" s="3" t="s">
        <v>884</v>
      </c>
      <c r="I25" s="3">
        <v>8.0</v>
      </c>
      <c r="J25" s="3" t="s">
        <v>23</v>
      </c>
      <c r="K25" s="3" t="s">
        <v>95</v>
      </c>
      <c r="L25" s="6" t="s">
        <v>72</v>
      </c>
      <c r="M25" s="3" t="s">
        <v>821</v>
      </c>
      <c r="N25" s="3" t="s">
        <v>133</v>
      </c>
      <c r="O25" s="3" t="s">
        <v>131</v>
      </c>
      <c r="P25" s="3" t="s">
        <v>899</v>
      </c>
      <c r="Q25" s="3" t="s">
        <v>900</v>
      </c>
      <c r="R25" s="2"/>
      <c r="S25" s="2"/>
      <c r="T25" s="2"/>
      <c r="U25" s="2"/>
      <c r="V25" s="2"/>
      <c r="W25" s="2"/>
      <c r="X25" s="2"/>
      <c r="Y25" s="2"/>
    </row>
    <row r="26">
      <c r="A26" s="5" t="str">
        <f>IFERROR(__xludf.DUMMYFUNCTION("LEFT(A25, 4) &amp; TEXT(VALUE(REGEXEXTRACT(A25, ""\d+"")) + 1, ""0000"")"),"SOM-0024")</f>
        <v>SOM-0024</v>
      </c>
      <c r="B26" s="3" t="s">
        <v>880</v>
      </c>
      <c r="C26" s="3" t="s">
        <v>898</v>
      </c>
      <c r="D26" s="2" t="str">
        <f t="shared" si="1"/>
        <v>DOR | D</v>
      </c>
      <c r="E26" s="3" t="s">
        <v>76</v>
      </c>
      <c r="F26" s="3" t="s">
        <v>30</v>
      </c>
      <c r="G26" s="3" t="s">
        <v>317</v>
      </c>
      <c r="H26" s="3" t="s">
        <v>884</v>
      </c>
      <c r="I26" s="3">
        <v>8.0</v>
      </c>
      <c r="J26" s="3" t="s">
        <v>23</v>
      </c>
      <c r="K26" s="3" t="s">
        <v>95</v>
      </c>
      <c r="L26" s="6" t="s">
        <v>39</v>
      </c>
      <c r="M26" s="3" t="s">
        <v>821</v>
      </c>
      <c r="N26" s="3" t="s">
        <v>135</v>
      </c>
      <c r="O26" s="3" t="s">
        <v>136</v>
      </c>
      <c r="P26" s="3" t="s">
        <v>899</v>
      </c>
      <c r="Q26" s="3" t="s">
        <v>900</v>
      </c>
      <c r="R26" s="2"/>
      <c r="S26" s="2"/>
      <c r="T26" s="2"/>
      <c r="U26" s="2"/>
      <c r="V26" s="2"/>
      <c r="W26" s="2"/>
      <c r="X26" s="2"/>
      <c r="Y26" s="2"/>
    </row>
    <row r="27">
      <c r="A27" s="5" t="str">
        <f>IFERROR(__xludf.DUMMYFUNCTION("LEFT(A26, 4) &amp; TEXT(VALUE(REGEXEXTRACT(A26, ""\d+"")) + 1, ""0000"")"),"SOM-0025")</f>
        <v>SOM-0025</v>
      </c>
      <c r="B27" s="3" t="s">
        <v>880</v>
      </c>
      <c r="C27" s="3" t="s">
        <v>901</v>
      </c>
      <c r="D27" s="2" t="str">
        <f t="shared" si="1"/>
        <v>ATORDOAR | MD</v>
      </c>
      <c r="E27" s="3" t="s">
        <v>94</v>
      </c>
      <c r="F27" s="3" t="s">
        <v>21</v>
      </c>
      <c r="G27" s="3" t="s">
        <v>317</v>
      </c>
      <c r="H27" s="3" t="s">
        <v>902</v>
      </c>
      <c r="I27" s="3">
        <v>8.0</v>
      </c>
      <c r="J27" s="3" t="s">
        <v>23</v>
      </c>
      <c r="K27" s="3" t="s">
        <v>95</v>
      </c>
      <c r="L27" s="6" t="s">
        <v>65</v>
      </c>
      <c r="M27" s="3" t="s">
        <v>821</v>
      </c>
      <c r="N27" s="3" t="s">
        <v>125</v>
      </c>
      <c r="O27" s="3" t="s">
        <v>126</v>
      </c>
      <c r="P27" s="3" t="s">
        <v>903</v>
      </c>
      <c r="Q27" s="3" t="s">
        <v>904</v>
      </c>
      <c r="R27" s="2"/>
      <c r="S27" s="2"/>
      <c r="T27" s="2"/>
      <c r="U27" s="2"/>
      <c r="V27" s="2"/>
      <c r="W27" s="2"/>
      <c r="X27" s="2"/>
      <c r="Y27" s="2"/>
    </row>
    <row r="28">
      <c r="A28" s="5" t="str">
        <f>IFERROR(__xludf.DUMMYFUNCTION("LEFT(A27, 4) &amp; TEXT(VALUE(REGEXEXTRACT(A27, ""\d+"")) + 1, ""0000"")"),"SOM-0026")</f>
        <v>SOM-0026</v>
      </c>
      <c r="B28" s="3" t="s">
        <v>880</v>
      </c>
      <c r="C28" s="3" t="s">
        <v>901</v>
      </c>
      <c r="D28" s="2" t="str">
        <f t="shared" si="1"/>
        <v>ATORDOAR | MD</v>
      </c>
      <c r="E28" s="3" t="s">
        <v>94</v>
      </c>
      <c r="F28" s="3" t="s">
        <v>27</v>
      </c>
      <c r="G28" s="3" t="s">
        <v>317</v>
      </c>
      <c r="H28" s="3" t="s">
        <v>902</v>
      </c>
      <c r="I28" s="3">
        <v>8.0</v>
      </c>
      <c r="J28" s="3" t="s">
        <v>23</v>
      </c>
      <c r="K28" s="3" t="s">
        <v>95</v>
      </c>
      <c r="L28" s="6" t="s">
        <v>35</v>
      </c>
      <c r="M28" s="3" t="s">
        <v>821</v>
      </c>
      <c r="N28" s="3" t="s">
        <v>128</v>
      </c>
      <c r="O28" s="3" t="s">
        <v>126</v>
      </c>
      <c r="P28" s="3" t="s">
        <v>905</v>
      </c>
      <c r="Q28" s="3" t="s">
        <v>904</v>
      </c>
      <c r="R28" s="2"/>
      <c r="S28" s="2"/>
      <c r="T28" s="2"/>
      <c r="U28" s="2"/>
      <c r="V28" s="2"/>
      <c r="W28" s="2"/>
      <c r="X28" s="2"/>
      <c r="Y28" s="2"/>
    </row>
    <row r="29">
      <c r="A29" s="5" t="str">
        <f>IFERROR(__xludf.DUMMYFUNCTION("LEFT(A28, 4) &amp; TEXT(VALUE(REGEXEXTRACT(A28, ""\d+"")) + 1, ""0000"")"),"SOM-0027")</f>
        <v>SOM-0027</v>
      </c>
      <c r="B29" s="3" t="s">
        <v>880</v>
      </c>
      <c r="C29" s="3" t="s">
        <v>901</v>
      </c>
      <c r="D29" s="2" t="str">
        <f t="shared" si="1"/>
        <v>ATORDOAR | MD</v>
      </c>
      <c r="E29" s="3" t="s">
        <v>94</v>
      </c>
      <c r="F29" s="3" t="s">
        <v>28</v>
      </c>
      <c r="G29" s="3" t="s">
        <v>317</v>
      </c>
      <c r="H29" s="3" t="s">
        <v>902</v>
      </c>
      <c r="I29" s="3">
        <v>8.0</v>
      </c>
      <c r="J29" s="3" t="s">
        <v>23</v>
      </c>
      <c r="K29" s="3" t="s">
        <v>95</v>
      </c>
      <c r="L29" s="6" t="s">
        <v>70</v>
      </c>
      <c r="M29" s="3" t="s">
        <v>821</v>
      </c>
      <c r="N29" s="3" t="s">
        <v>130</v>
      </c>
      <c r="O29" s="3" t="s">
        <v>131</v>
      </c>
      <c r="P29" s="3" t="s">
        <v>906</v>
      </c>
      <c r="Q29" s="3" t="s">
        <v>904</v>
      </c>
      <c r="R29" s="2"/>
      <c r="S29" s="2"/>
      <c r="T29" s="2"/>
      <c r="U29" s="2"/>
      <c r="V29" s="2"/>
      <c r="W29" s="2"/>
      <c r="X29" s="2"/>
      <c r="Y29" s="2"/>
    </row>
    <row r="30">
      <c r="A30" s="5" t="str">
        <f>IFERROR(__xludf.DUMMYFUNCTION("LEFT(A29, 4) &amp; TEXT(VALUE(REGEXEXTRACT(A29, ""\d+"")) + 1, ""0000"")"),"SOM-0028")</f>
        <v>SOM-0028</v>
      </c>
      <c r="B30" s="3" t="s">
        <v>880</v>
      </c>
      <c r="C30" s="3" t="s">
        <v>901</v>
      </c>
      <c r="D30" s="2" t="str">
        <f t="shared" si="1"/>
        <v>ATORDOAR | MD</v>
      </c>
      <c r="E30" s="3" t="s">
        <v>94</v>
      </c>
      <c r="F30" s="3" t="s">
        <v>29</v>
      </c>
      <c r="G30" s="3" t="s">
        <v>317</v>
      </c>
      <c r="H30" s="3" t="s">
        <v>902</v>
      </c>
      <c r="I30" s="3">
        <v>8.0</v>
      </c>
      <c r="J30" s="3" t="s">
        <v>23</v>
      </c>
      <c r="K30" s="3" t="s">
        <v>95</v>
      </c>
      <c r="L30" s="6" t="s">
        <v>72</v>
      </c>
      <c r="M30" s="3" t="s">
        <v>821</v>
      </c>
      <c r="N30" s="3" t="s">
        <v>133</v>
      </c>
      <c r="O30" s="3" t="s">
        <v>131</v>
      </c>
      <c r="P30" s="3" t="s">
        <v>907</v>
      </c>
      <c r="Q30" s="3" t="s">
        <v>904</v>
      </c>
      <c r="R30" s="2"/>
      <c r="S30" s="2"/>
      <c r="T30" s="2"/>
      <c r="U30" s="2"/>
      <c r="V30" s="2"/>
      <c r="W30" s="2"/>
      <c r="X30" s="2"/>
      <c r="Y30" s="2"/>
    </row>
    <row r="31">
      <c r="A31" s="5" t="str">
        <f>IFERROR(__xludf.DUMMYFUNCTION("LEFT(A30, 4) &amp; TEXT(VALUE(REGEXEXTRACT(A30, ""\d+"")) + 1, ""0000"")"),"SOM-0029")</f>
        <v>SOM-0029</v>
      </c>
      <c r="B31" s="3" t="s">
        <v>880</v>
      </c>
      <c r="C31" s="3" t="s">
        <v>901</v>
      </c>
      <c r="D31" s="2" t="str">
        <f t="shared" si="1"/>
        <v>ATORDOAR | MD</v>
      </c>
      <c r="E31" s="3" t="s">
        <v>94</v>
      </c>
      <c r="F31" s="3" t="s">
        <v>30</v>
      </c>
      <c r="G31" s="3" t="s">
        <v>317</v>
      </c>
      <c r="H31" s="3" t="s">
        <v>902</v>
      </c>
      <c r="I31" s="3">
        <v>8.0</v>
      </c>
      <c r="J31" s="3" t="s">
        <v>23</v>
      </c>
      <c r="K31" s="3" t="s">
        <v>95</v>
      </c>
      <c r="L31" s="6" t="s">
        <v>39</v>
      </c>
      <c r="M31" s="3" t="s">
        <v>821</v>
      </c>
      <c r="N31" s="3" t="s">
        <v>135</v>
      </c>
      <c r="O31" s="3" t="s">
        <v>136</v>
      </c>
      <c r="P31" s="3" t="s">
        <v>908</v>
      </c>
      <c r="Q31" s="3" t="s">
        <v>904</v>
      </c>
      <c r="R31" s="2"/>
      <c r="S31" s="2"/>
      <c r="T31" s="2"/>
      <c r="U31" s="2"/>
      <c r="V31" s="2"/>
      <c r="W31" s="2"/>
      <c r="X31" s="2"/>
      <c r="Y31" s="2"/>
    </row>
    <row r="32">
      <c r="A32" s="5" t="str">
        <f>IFERROR(__xludf.DUMMYFUNCTION("LEFT(A31, 4) &amp; TEXT(VALUE(REGEXEXTRACT(A31, ""\d+"")) + 1, ""0000"")"),"SOM-0030")</f>
        <v>SOM-0030</v>
      </c>
      <c r="B32" s="3" t="s">
        <v>880</v>
      </c>
      <c r="C32" s="3" t="s">
        <v>909</v>
      </c>
      <c r="D32" s="2" t="str">
        <f t="shared" si="1"/>
        <v>CEGUEIRA | D</v>
      </c>
      <c r="E32" s="3" t="s">
        <v>76</v>
      </c>
      <c r="F32" s="3" t="s">
        <v>21</v>
      </c>
      <c r="G32" s="3" t="s">
        <v>317</v>
      </c>
      <c r="H32" s="3" t="s">
        <v>910</v>
      </c>
      <c r="I32" s="3">
        <v>8.0</v>
      </c>
      <c r="J32" s="3" t="s">
        <v>23</v>
      </c>
      <c r="K32" s="3" t="s">
        <v>95</v>
      </c>
      <c r="L32" s="6" t="s">
        <v>65</v>
      </c>
      <c r="M32" s="3" t="s">
        <v>821</v>
      </c>
      <c r="N32" s="3" t="s">
        <v>125</v>
      </c>
      <c r="O32" s="3" t="s">
        <v>126</v>
      </c>
      <c r="P32" s="3" t="s">
        <v>911</v>
      </c>
      <c r="Q32" s="2"/>
      <c r="R32" s="2"/>
      <c r="S32" s="2"/>
      <c r="T32" s="2"/>
      <c r="U32" s="2"/>
      <c r="V32" s="2"/>
      <c r="W32" s="2"/>
      <c r="X32" s="2"/>
      <c r="Y32" s="2"/>
    </row>
    <row r="33">
      <c r="A33" s="5" t="str">
        <f>IFERROR(__xludf.DUMMYFUNCTION("LEFT(A32, 4) &amp; TEXT(VALUE(REGEXEXTRACT(A32, ""\d+"")) + 1, ""0000"")"),"SOM-0031")</f>
        <v>SOM-0031</v>
      </c>
      <c r="B33" s="3" t="s">
        <v>880</v>
      </c>
      <c r="C33" s="3" t="s">
        <v>909</v>
      </c>
      <c r="D33" s="2" t="str">
        <f t="shared" si="1"/>
        <v>CEGUEIRA | D</v>
      </c>
      <c r="E33" s="3" t="s">
        <v>76</v>
      </c>
      <c r="F33" s="3" t="s">
        <v>27</v>
      </c>
      <c r="G33" s="3" t="s">
        <v>317</v>
      </c>
      <c r="H33" s="3" t="s">
        <v>910</v>
      </c>
      <c r="I33" s="3">
        <v>8.0</v>
      </c>
      <c r="J33" s="3" t="s">
        <v>23</v>
      </c>
      <c r="K33" s="3" t="s">
        <v>95</v>
      </c>
      <c r="L33" s="6" t="s">
        <v>35</v>
      </c>
      <c r="M33" s="3" t="s">
        <v>821</v>
      </c>
      <c r="N33" s="3" t="s">
        <v>128</v>
      </c>
      <c r="O33" s="3" t="s">
        <v>126</v>
      </c>
      <c r="P33" s="3" t="s">
        <v>911</v>
      </c>
      <c r="Q33" s="2"/>
      <c r="R33" s="2"/>
      <c r="S33" s="2"/>
      <c r="T33" s="2"/>
      <c r="U33" s="2"/>
      <c r="V33" s="2"/>
      <c r="W33" s="2"/>
      <c r="X33" s="2"/>
      <c r="Y33" s="2"/>
    </row>
    <row r="34">
      <c r="A34" s="5" t="str">
        <f>IFERROR(__xludf.DUMMYFUNCTION("LEFT(A33, 4) &amp; TEXT(VALUE(REGEXEXTRACT(A33, ""\d+"")) + 1, ""0000"")"),"SOM-0032")</f>
        <v>SOM-0032</v>
      </c>
      <c r="B34" s="3" t="s">
        <v>880</v>
      </c>
      <c r="C34" s="3" t="s">
        <v>909</v>
      </c>
      <c r="D34" s="2" t="str">
        <f t="shared" si="1"/>
        <v>CEGUEIRA | D</v>
      </c>
      <c r="E34" s="3" t="s">
        <v>76</v>
      </c>
      <c r="F34" s="3" t="s">
        <v>28</v>
      </c>
      <c r="G34" s="3" t="s">
        <v>317</v>
      </c>
      <c r="H34" s="3" t="s">
        <v>910</v>
      </c>
      <c r="I34" s="3">
        <v>8.0</v>
      </c>
      <c r="J34" s="3" t="s">
        <v>23</v>
      </c>
      <c r="K34" s="3" t="s">
        <v>95</v>
      </c>
      <c r="L34" s="6" t="s">
        <v>70</v>
      </c>
      <c r="M34" s="3" t="s">
        <v>821</v>
      </c>
      <c r="N34" s="3" t="s">
        <v>130</v>
      </c>
      <c r="O34" s="3" t="s">
        <v>131</v>
      </c>
      <c r="P34" s="3" t="s">
        <v>911</v>
      </c>
      <c r="Q34" s="2"/>
      <c r="R34" s="2"/>
      <c r="S34" s="2"/>
      <c r="T34" s="2"/>
      <c r="U34" s="2"/>
      <c r="V34" s="2"/>
      <c r="W34" s="2"/>
      <c r="X34" s="2"/>
      <c r="Y34" s="2"/>
    </row>
    <row r="35">
      <c r="A35" s="5" t="str">
        <f>IFERROR(__xludf.DUMMYFUNCTION("LEFT(A34, 4) &amp; TEXT(VALUE(REGEXEXTRACT(A34, ""\d+"")) + 1, ""0000"")"),"SOM-0033")</f>
        <v>SOM-0033</v>
      </c>
      <c r="B35" s="3" t="s">
        <v>880</v>
      </c>
      <c r="C35" s="3" t="s">
        <v>909</v>
      </c>
      <c r="D35" s="2" t="str">
        <f t="shared" si="1"/>
        <v>CEGUEIRA | D</v>
      </c>
      <c r="E35" s="3" t="s">
        <v>76</v>
      </c>
      <c r="F35" s="3" t="s">
        <v>29</v>
      </c>
      <c r="G35" s="3" t="s">
        <v>317</v>
      </c>
      <c r="H35" s="3" t="s">
        <v>910</v>
      </c>
      <c r="I35" s="3">
        <v>8.0</v>
      </c>
      <c r="J35" s="3" t="s">
        <v>23</v>
      </c>
      <c r="K35" s="3" t="s">
        <v>95</v>
      </c>
      <c r="L35" s="6" t="s">
        <v>72</v>
      </c>
      <c r="M35" s="3" t="s">
        <v>821</v>
      </c>
      <c r="N35" s="3" t="s">
        <v>133</v>
      </c>
      <c r="O35" s="3" t="s">
        <v>131</v>
      </c>
      <c r="P35" s="3" t="s">
        <v>911</v>
      </c>
      <c r="Q35" s="2"/>
      <c r="R35" s="2"/>
      <c r="S35" s="2"/>
      <c r="T35" s="2"/>
      <c r="U35" s="2"/>
      <c r="V35" s="2"/>
      <c r="W35" s="2"/>
      <c r="X35" s="2"/>
      <c r="Y35" s="2"/>
    </row>
    <row r="36">
      <c r="A36" s="5" t="str">
        <f>IFERROR(__xludf.DUMMYFUNCTION("LEFT(A35, 4) &amp; TEXT(VALUE(REGEXEXTRACT(A35, ""\d+"")) + 1, ""0000"")"),"SOM-0034")</f>
        <v>SOM-0034</v>
      </c>
      <c r="B36" s="3" t="s">
        <v>880</v>
      </c>
      <c r="C36" s="3" t="s">
        <v>909</v>
      </c>
      <c r="D36" s="2" t="str">
        <f t="shared" si="1"/>
        <v>CEGUEIRA | D</v>
      </c>
      <c r="E36" s="3" t="s">
        <v>76</v>
      </c>
      <c r="F36" s="3" t="s">
        <v>30</v>
      </c>
      <c r="G36" s="3" t="s">
        <v>317</v>
      </c>
      <c r="H36" s="3" t="s">
        <v>910</v>
      </c>
      <c r="I36" s="3">
        <v>8.0</v>
      </c>
      <c r="J36" s="3" t="s">
        <v>23</v>
      </c>
      <c r="K36" s="3" t="s">
        <v>95</v>
      </c>
      <c r="L36" s="6" t="s">
        <v>39</v>
      </c>
      <c r="M36" s="3" t="s">
        <v>821</v>
      </c>
      <c r="N36" s="3" t="s">
        <v>135</v>
      </c>
      <c r="O36" s="3" t="s">
        <v>136</v>
      </c>
      <c r="P36" s="3" t="s">
        <v>911</v>
      </c>
      <c r="Q36" s="2"/>
      <c r="R36" s="2"/>
      <c r="S36" s="2"/>
      <c r="T36" s="2"/>
      <c r="U36" s="2"/>
      <c r="V36" s="2"/>
      <c r="W36" s="2"/>
      <c r="X36" s="2"/>
      <c r="Y36" s="2"/>
    </row>
    <row r="37">
      <c r="A37" s="5" t="str">
        <f>IFERROR(__xludf.DUMMYFUNCTION("LEFT(A36, 4) &amp; TEXT(VALUE(REGEXEXTRACT(A36, ""\d+"")) + 1, ""0000"")"),"SOM-0035")</f>
        <v>SOM-0035</v>
      </c>
      <c r="B37" s="3" t="s">
        <v>880</v>
      </c>
      <c r="C37" s="3" t="s">
        <v>912</v>
      </c>
      <c r="D37" s="2" t="str">
        <f t="shared" si="1"/>
        <v>SURDEZ | M</v>
      </c>
      <c r="E37" s="3" t="s">
        <v>48</v>
      </c>
      <c r="F37" s="3" t="s">
        <v>21</v>
      </c>
      <c r="G37" s="3" t="s">
        <v>317</v>
      </c>
      <c r="H37" s="3" t="s">
        <v>910</v>
      </c>
      <c r="I37" s="3">
        <v>4.0</v>
      </c>
      <c r="J37" s="3" t="s">
        <v>23</v>
      </c>
      <c r="K37" s="3" t="s">
        <v>95</v>
      </c>
      <c r="L37" s="6" t="s">
        <v>65</v>
      </c>
      <c r="M37" s="3" t="s">
        <v>821</v>
      </c>
      <c r="N37" s="3" t="s">
        <v>125</v>
      </c>
      <c r="O37" s="3" t="s">
        <v>126</v>
      </c>
      <c r="P37" s="3" t="s">
        <v>913</v>
      </c>
      <c r="Q37" s="2"/>
      <c r="R37" s="2"/>
      <c r="S37" s="2"/>
      <c r="T37" s="2"/>
      <c r="U37" s="2"/>
      <c r="V37" s="2"/>
      <c r="W37" s="2"/>
      <c r="X37" s="2"/>
      <c r="Y37" s="2"/>
    </row>
    <row r="38">
      <c r="A38" s="5" t="str">
        <f>IFERROR(__xludf.DUMMYFUNCTION("LEFT(A37, 4) &amp; TEXT(VALUE(REGEXEXTRACT(A37, ""\d+"")) + 1, ""0000"")"),"SOM-0036")</f>
        <v>SOM-0036</v>
      </c>
      <c r="B38" s="3" t="s">
        <v>880</v>
      </c>
      <c r="C38" s="3" t="s">
        <v>912</v>
      </c>
      <c r="D38" s="2" t="str">
        <f t="shared" si="1"/>
        <v>SURDEZ | M</v>
      </c>
      <c r="E38" s="3" t="s">
        <v>48</v>
      </c>
      <c r="F38" s="3" t="s">
        <v>27</v>
      </c>
      <c r="G38" s="3" t="s">
        <v>317</v>
      </c>
      <c r="H38" s="3" t="s">
        <v>910</v>
      </c>
      <c r="I38" s="3">
        <v>4.0</v>
      </c>
      <c r="J38" s="3" t="s">
        <v>23</v>
      </c>
      <c r="K38" s="3" t="s">
        <v>95</v>
      </c>
      <c r="L38" s="6" t="s">
        <v>35</v>
      </c>
      <c r="M38" s="3" t="s">
        <v>821</v>
      </c>
      <c r="N38" s="3" t="s">
        <v>128</v>
      </c>
      <c r="O38" s="3" t="s">
        <v>126</v>
      </c>
      <c r="P38" s="3" t="s">
        <v>913</v>
      </c>
      <c r="Q38" s="2"/>
      <c r="R38" s="2"/>
      <c r="S38" s="2"/>
      <c r="T38" s="2"/>
      <c r="U38" s="2"/>
      <c r="V38" s="2"/>
      <c r="W38" s="2"/>
      <c r="X38" s="2"/>
      <c r="Y38" s="2"/>
    </row>
    <row r="39">
      <c r="A39" s="5" t="str">
        <f>IFERROR(__xludf.DUMMYFUNCTION("LEFT(A38, 4) &amp; TEXT(VALUE(REGEXEXTRACT(A38, ""\d+"")) + 1, ""0000"")"),"SOM-0037")</f>
        <v>SOM-0037</v>
      </c>
      <c r="B39" s="3" t="s">
        <v>880</v>
      </c>
      <c r="C39" s="3" t="s">
        <v>912</v>
      </c>
      <c r="D39" s="2" t="str">
        <f t="shared" si="1"/>
        <v>SURDEZ | M</v>
      </c>
      <c r="E39" s="3" t="s">
        <v>48</v>
      </c>
      <c r="F39" s="3" t="s">
        <v>28</v>
      </c>
      <c r="G39" s="3" t="s">
        <v>317</v>
      </c>
      <c r="H39" s="3" t="s">
        <v>910</v>
      </c>
      <c r="I39" s="3">
        <v>4.0</v>
      </c>
      <c r="J39" s="3" t="s">
        <v>23</v>
      </c>
      <c r="K39" s="3" t="s">
        <v>95</v>
      </c>
      <c r="L39" s="6" t="s">
        <v>70</v>
      </c>
      <c r="M39" s="3" t="s">
        <v>821</v>
      </c>
      <c r="N39" s="3" t="s">
        <v>130</v>
      </c>
      <c r="O39" s="3" t="s">
        <v>131</v>
      </c>
      <c r="P39" s="3" t="s">
        <v>913</v>
      </c>
      <c r="Q39" s="2"/>
      <c r="R39" s="2"/>
      <c r="S39" s="2"/>
      <c r="T39" s="2"/>
      <c r="U39" s="2"/>
      <c r="V39" s="2"/>
      <c r="W39" s="2"/>
      <c r="X39" s="2"/>
      <c r="Y39" s="2"/>
    </row>
    <row r="40">
      <c r="A40" s="5" t="str">
        <f>IFERROR(__xludf.DUMMYFUNCTION("LEFT(A39, 4) &amp; TEXT(VALUE(REGEXEXTRACT(A39, ""\d+"")) + 1, ""0000"")"),"SOM-0038")</f>
        <v>SOM-0038</v>
      </c>
      <c r="B40" s="3" t="s">
        <v>880</v>
      </c>
      <c r="C40" s="3" t="s">
        <v>912</v>
      </c>
      <c r="D40" s="2" t="str">
        <f t="shared" si="1"/>
        <v>SURDEZ | M</v>
      </c>
      <c r="E40" s="3" t="s">
        <v>48</v>
      </c>
      <c r="F40" s="3" t="s">
        <v>29</v>
      </c>
      <c r="G40" s="3" t="s">
        <v>317</v>
      </c>
      <c r="H40" s="3" t="s">
        <v>910</v>
      </c>
      <c r="I40" s="3">
        <v>4.0</v>
      </c>
      <c r="J40" s="3" t="s">
        <v>23</v>
      </c>
      <c r="K40" s="3" t="s">
        <v>95</v>
      </c>
      <c r="L40" s="6" t="s">
        <v>72</v>
      </c>
      <c r="M40" s="3" t="s">
        <v>821</v>
      </c>
      <c r="N40" s="3" t="s">
        <v>133</v>
      </c>
      <c r="O40" s="3" t="s">
        <v>131</v>
      </c>
      <c r="P40" s="3" t="s">
        <v>913</v>
      </c>
      <c r="Q40" s="2"/>
      <c r="R40" s="2"/>
      <c r="S40" s="2"/>
      <c r="T40" s="2"/>
      <c r="U40" s="2"/>
      <c r="V40" s="2"/>
      <c r="W40" s="2"/>
      <c r="X40" s="2"/>
      <c r="Y40" s="2"/>
    </row>
    <row r="41">
      <c r="A41" s="5" t="str">
        <f>IFERROR(__xludf.DUMMYFUNCTION("LEFT(A40, 4) &amp; TEXT(VALUE(REGEXEXTRACT(A40, ""\d+"")) + 1, ""0000"")"),"SOM-0039")</f>
        <v>SOM-0039</v>
      </c>
      <c r="B41" s="3" t="s">
        <v>880</v>
      </c>
      <c r="C41" s="3" t="s">
        <v>912</v>
      </c>
      <c r="D41" s="2" t="str">
        <f t="shared" si="1"/>
        <v>SURDEZ | M</v>
      </c>
      <c r="E41" s="3" t="s">
        <v>48</v>
      </c>
      <c r="F41" s="3" t="s">
        <v>30</v>
      </c>
      <c r="G41" s="3" t="s">
        <v>317</v>
      </c>
      <c r="H41" s="3" t="s">
        <v>910</v>
      </c>
      <c r="I41" s="3">
        <v>4.0</v>
      </c>
      <c r="J41" s="3" t="s">
        <v>23</v>
      </c>
      <c r="K41" s="3" t="s">
        <v>95</v>
      </c>
      <c r="L41" s="6" t="s">
        <v>39</v>
      </c>
      <c r="M41" s="3" t="s">
        <v>821</v>
      </c>
      <c r="N41" s="3" t="s">
        <v>135</v>
      </c>
      <c r="O41" s="3" t="s">
        <v>136</v>
      </c>
      <c r="P41" s="3" t="s">
        <v>913</v>
      </c>
      <c r="Q41" s="2"/>
      <c r="R41" s="2"/>
      <c r="S41" s="2"/>
      <c r="T41" s="2"/>
      <c r="U41" s="2"/>
      <c r="V41" s="2"/>
      <c r="W41" s="2"/>
      <c r="X41" s="2"/>
      <c r="Y41" s="2"/>
    </row>
    <row r="42">
      <c r="A42" s="5" t="str">
        <f>IFERROR(__xludf.DUMMYFUNCTION("LEFT(A41, 4) &amp; TEXT(VALUE(REGEXEXTRACT(A41, ""\d+"")) + 1, ""0000"")"),"SOM-0040")</f>
        <v>SOM-0040</v>
      </c>
      <c r="B42" s="3" t="s">
        <v>880</v>
      </c>
      <c r="C42" s="3" t="s">
        <v>914</v>
      </c>
      <c r="D42" s="2" t="str">
        <f t="shared" si="1"/>
        <v>MUDEZ | M</v>
      </c>
      <c r="E42" s="3" t="s">
        <v>48</v>
      </c>
      <c r="F42" s="3" t="s">
        <v>21</v>
      </c>
      <c r="G42" s="3" t="s">
        <v>317</v>
      </c>
      <c r="H42" s="3" t="s">
        <v>910</v>
      </c>
      <c r="I42" s="3">
        <v>4.0</v>
      </c>
      <c r="J42" s="3" t="s">
        <v>23</v>
      </c>
      <c r="K42" s="3" t="s">
        <v>95</v>
      </c>
      <c r="L42" s="6" t="s">
        <v>65</v>
      </c>
      <c r="M42" s="3" t="s">
        <v>821</v>
      </c>
      <c r="N42" s="3" t="s">
        <v>125</v>
      </c>
      <c r="O42" s="3" t="s">
        <v>126</v>
      </c>
      <c r="P42" s="3" t="s">
        <v>915</v>
      </c>
      <c r="Q42" s="2"/>
      <c r="R42" s="2"/>
      <c r="S42" s="2"/>
      <c r="T42" s="2"/>
      <c r="U42" s="2"/>
      <c r="V42" s="2"/>
      <c r="W42" s="2"/>
      <c r="X42" s="2"/>
      <c r="Y42" s="2"/>
    </row>
    <row r="43">
      <c r="A43" s="5" t="str">
        <f>IFERROR(__xludf.DUMMYFUNCTION("LEFT(A42, 4) &amp; TEXT(VALUE(REGEXEXTRACT(A42, ""\d+"")) + 1, ""0000"")"),"SOM-0041")</f>
        <v>SOM-0041</v>
      </c>
      <c r="B43" s="3" t="s">
        <v>880</v>
      </c>
      <c r="C43" s="3" t="s">
        <v>914</v>
      </c>
      <c r="D43" s="2" t="str">
        <f t="shared" si="1"/>
        <v>MUDEZ | M</v>
      </c>
      <c r="E43" s="3" t="s">
        <v>48</v>
      </c>
      <c r="F43" s="3" t="s">
        <v>27</v>
      </c>
      <c r="G43" s="3" t="s">
        <v>317</v>
      </c>
      <c r="H43" s="3" t="s">
        <v>910</v>
      </c>
      <c r="I43" s="3">
        <v>4.0</v>
      </c>
      <c r="J43" s="3" t="s">
        <v>23</v>
      </c>
      <c r="K43" s="3" t="s">
        <v>95</v>
      </c>
      <c r="L43" s="6" t="s">
        <v>35</v>
      </c>
      <c r="M43" s="3" t="s">
        <v>821</v>
      </c>
      <c r="N43" s="3" t="s">
        <v>128</v>
      </c>
      <c r="O43" s="3" t="s">
        <v>126</v>
      </c>
      <c r="P43" s="3" t="s">
        <v>915</v>
      </c>
      <c r="Q43" s="2"/>
      <c r="R43" s="2"/>
      <c r="S43" s="2"/>
      <c r="T43" s="2"/>
      <c r="U43" s="2"/>
      <c r="V43" s="2"/>
      <c r="W43" s="2"/>
      <c r="X43" s="2"/>
      <c r="Y43" s="2"/>
    </row>
    <row r="44">
      <c r="A44" s="5" t="str">
        <f>IFERROR(__xludf.DUMMYFUNCTION("LEFT(A43, 4) &amp; TEXT(VALUE(REGEXEXTRACT(A43, ""\d+"")) + 1, ""0000"")"),"SOM-0042")</f>
        <v>SOM-0042</v>
      </c>
      <c r="B44" s="3" t="s">
        <v>880</v>
      </c>
      <c r="C44" s="3" t="s">
        <v>914</v>
      </c>
      <c r="D44" s="2" t="str">
        <f t="shared" si="1"/>
        <v>MUDEZ | M</v>
      </c>
      <c r="E44" s="3" t="s">
        <v>48</v>
      </c>
      <c r="F44" s="3" t="s">
        <v>28</v>
      </c>
      <c r="G44" s="3" t="s">
        <v>317</v>
      </c>
      <c r="H44" s="3" t="s">
        <v>910</v>
      </c>
      <c r="I44" s="3">
        <v>4.0</v>
      </c>
      <c r="J44" s="3" t="s">
        <v>23</v>
      </c>
      <c r="K44" s="3" t="s">
        <v>95</v>
      </c>
      <c r="L44" s="6" t="s">
        <v>70</v>
      </c>
      <c r="M44" s="3" t="s">
        <v>821</v>
      </c>
      <c r="N44" s="3" t="s">
        <v>130</v>
      </c>
      <c r="O44" s="3" t="s">
        <v>131</v>
      </c>
      <c r="P44" s="3" t="s">
        <v>915</v>
      </c>
      <c r="Q44" s="2"/>
      <c r="R44" s="2"/>
      <c r="S44" s="2"/>
      <c r="T44" s="2"/>
      <c r="U44" s="2"/>
      <c r="V44" s="2"/>
      <c r="W44" s="2"/>
      <c r="X44" s="2"/>
      <c r="Y44" s="2"/>
    </row>
    <row r="45">
      <c r="A45" s="5" t="str">
        <f>IFERROR(__xludf.DUMMYFUNCTION("LEFT(A44, 4) &amp; TEXT(VALUE(REGEXEXTRACT(A44, ""\d+"")) + 1, ""0000"")"),"SOM-0043")</f>
        <v>SOM-0043</v>
      </c>
      <c r="B45" s="3" t="s">
        <v>880</v>
      </c>
      <c r="C45" s="3" t="s">
        <v>914</v>
      </c>
      <c r="D45" s="2" t="str">
        <f t="shared" si="1"/>
        <v>MUDEZ | M</v>
      </c>
      <c r="E45" s="3" t="s">
        <v>48</v>
      </c>
      <c r="F45" s="3" t="s">
        <v>29</v>
      </c>
      <c r="G45" s="3" t="s">
        <v>317</v>
      </c>
      <c r="H45" s="3" t="s">
        <v>910</v>
      </c>
      <c r="I45" s="3">
        <v>4.0</v>
      </c>
      <c r="J45" s="3" t="s">
        <v>23</v>
      </c>
      <c r="K45" s="3" t="s">
        <v>95</v>
      </c>
      <c r="L45" s="6" t="s">
        <v>72</v>
      </c>
      <c r="M45" s="3" t="s">
        <v>821</v>
      </c>
      <c r="N45" s="3" t="s">
        <v>133</v>
      </c>
      <c r="O45" s="3" t="s">
        <v>131</v>
      </c>
      <c r="P45" s="3" t="s">
        <v>915</v>
      </c>
      <c r="Q45" s="2"/>
      <c r="R45" s="2"/>
      <c r="S45" s="2"/>
      <c r="T45" s="2"/>
      <c r="U45" s="2"/>
      <c r="V45" s="2"/>
      <c r="W45" s="2"/>
      <c r="X45" s="2"/>
      <c r="Y45" s="2"/>
    </row>
    <row r="46">
      <c r="A46" s="5" t="str">
        <f>IFERROR(__xludf.DUMMYFUNCTION("LEFT(A45, 4) &amp; TEXT(VALUE(REGEXEXTRACT(A45, ""\d+"")) + 1, ""0000"")"),"SOM-0044")</f>
        <v>SOM-0044</v>
      </c>
      <c r="B46" s="3" t="s">
        <v>880</v>
      </c>
      <c r="C46" s="3" t="s">
        <v>914</v>
      </c>
      <c r="D46" s="2" t="str">
        <f t="shared" si="1"/>
        <v>MUDEZ | M</v>
      </c>
      <c r="E46" s="3" t="s">
        <v>48</v>
      </c>
      <c r="F46" s="3" t="s">
        <v>30</v>
      </c>
      <c r="G46" s="3" t="s">
        <v>317</v>
      </c>
      <c r="H46" s="3" t="s">
        <v>910</v>
      </c>
      <c r="I46" s="3">
        <v>4.0</v>
      </c>
      <c r="J46" s="3" t="s">
        <v>23</v>
      </c>
      <c r="K46" s="3" t="s">
        <v>95</v>
      </c>
      <c r="L46" s="6" t="s">
        <v>39</v>
      </c>
      <c r="M46" s="3" t="s">
        <v>821</v>
      </c>
      <c r="N46" s="3" t="s">
        <v>135</v>
      </c>
      <c r="O46" s="3" t="s">
        <v>136</v>
      </c>
      <c r="P46" s="3" t="s">
        <v>915</v>
      </c>
      <c r="Q46" s="2"/>
      <c r="R46" s="2"/>
      <c r="S46" s="2"/>
      <c r="T46" s="2"/>
      <c r="U46" s="2"/>
      <c r="V46" s="2"/>
      <c r="W46" s="2"/>
      <c r="X46" s="2"/>
      <c r="Y46" s="2"/>
    </row>
    <row r="47">
      <c r="A47" s="5" t="str">
        <f>IFERROR(__xludf.DUMMYFUNCTION("LEFT(A46, 4) &amp; TEXT(VALUE(REGEXEXTRACT(A46, ""\d+"")) + 1, ""0000"")"),"SOM-0045")</f>
        <v>SOM-0045</v>
      </c>
      <c r="B47" s="3" t="s">
        <v>880</v>
      </c>
      <c r="C47" s="3" t="s">
        <v>916</v>
      </c>
      <c r="D47" s="2" t="str">
        <f t="shared" si="1"/>
        <v>DESASTRAR | D</v>
      </c>
      <c r="E47" s="3" t="s">
        <v>76</v>
      </c>
      <c r="F47" s="3" t="s">
        <v>21</v>
      </c>
      <c r="G47" s="3" t="s">
        <v>317</v>
      </c>
      <c r="H47" s="3" t="s">
        <v>917</v>
      </c>
      <c r="I47" s="3">
        <v>8.0</v>
      </c>
      <c r="J47" s="3" t="s">
        <v>23</v>
      </c>
      <c r="K47" s="3" t="s">
        <v>95</v>
      </c>
      <c r="L47" s="6" t="s">
        <v>65</v>
      </c>
      <c r="M47" s="3" t="s">
        <v>821</v>
      </c>
      <c r="N47" s="3" t="s">
        <v>125</v>
      </c>
      <c r="O47" s="3" t="s">
        <v>126</v>
      </c>
      <c r="P47" s="3" t="s">
        <v>918</v>
      </c>
      <c r="Q47" s="2"/>
      <c r="R47" s="2"/>
      <c r="S47" s="2"/>
      <c r="T47" s="2"/>
      <c r="U47" s="2"/>
      <c r="V47" s="2"/>
      <c r="W47" s="2"/>
      <c r="X47" s="2"/>
      <c r="Y47" s="2"/>
    </row>
    <row r="48">
      <c r="A48" s="5" t="str">
        <f>IFERROR(__xludf.DUMMYFUNCTION("LEFT(A47, 4) &amp; TEXT(VALUE(REGEXEXTRACT(A47, ""\d+"")) + 1, ""0000"")"),"SOM-0046")</f>
        <v>SOM-0046</v>
      </c>
      <c r="B48" s="3" t="s">
        <v>880</v>
      </c>
      <c r="C48" s="3" t="s">
        <v>916</v>
      </c>
      <c r="D48" s="2" t="str">
        <f t="shared" si="1"/>
        <v>DESASTRAR | D</v>
      </c>
      <c r="E48" s="3" t="s">
        <v>76</v>
      </c>
      <c r="F48" s="3" t="s">
        <v>27</v>
      </c>
      <c r="G48" s="3" t="s">
        <v>317</v>
      </c>
      <c r="H48" s="3" t="s">
        <v>917</v>
      </c>
      <c r="I48" s="3">
        <v>8.0</v>
      </c>
      <c r="J48" s="3" t="s">
        <v>23</v>
      </c>
      <c r="K48" s="3" t="s">
        <v>95</v>
      </c>
      <c r="L48" s="6" t="s">
        <v>35</v>
      </c>
      <c r="M48" s="3" t="s">
        <v>821</v>
      </c>
      <c r="N48" s="3" t="s">
        <v>128</v>
      </c>
      <c r="O48" s="3" t="s">
        <v>126</v>
      </c>
      <c r="P48" s="3" t="s">
        <v>918</v>
      </c>
      <c r="Q48" s="2"/>
      <c r="R48" s="2"/>
      <c r="S48" s="2"/>
      <c r="T48" s="2"/>
      <c r="U48" s="2"/>
      <c r="V48" s="2"/>
      <c r="W48" s="2"/>
      <c r="X48" s="2"/>
      <c r="Y48" s="2"/>
    </row>
    <row r="49">
      <c r="A49" s="5" t="str">
        <f>IFERROR(__xludf.DUMMYFUNCTION("LEFT(A48, 4) &amp; TEXT(VALUE(REGEXEXTRACT(A48, ""\d+"")) + 1, ""0000"")"),"SOM-0047")</f>
        <v>SOM-0047</v>
      </c>
      <c r="B49" s="3" t="s">
        <v>880</v>
      </c>
      <c r="C49" s="3" t="s">
        <v>916</v>
      </c>
      <c r="D49" s="2" t="str">
        <f t="shared" si="1"/>
        <v>DESASTRAR | D</v>
      </c>
      <c r="E49" s="3" t="s">
        <v>76</v>
      </c>
      <c r="F49" s="3" t="s">
        <v>28</v>
      </c>
      <c r="G49" s="3" t="s">
        <v>317</v>
      </c>
      <c r="H49" s="3" t="s">
        <v>917</v>
      </c>
      <c r="I49" s="3">
        <v>8.0</v>
      </c>
      <c r="J49" s="3" t="s">
        <v>23</v>
      </c>
      <c r="K49" s="3" t="s">
        <v>95</v>
      </c>
      <c r="L49" s="6" t="s">
        <v>70</v>
      </c>
      <c r="M49" s="3" t="s">
        <v>821</v>
      </c>
      <c r="N49" s="3" t="s">
        <v>130</v>
      </c>
      <c r="O49" s="3" t="s">
        <v>131</v>
      </c>
      <c r="P49" s="3" t="s">
        <v>919</v>
      </c>
      <c r="Q49" s="2"/>
      <c r="R49" s="2"/>
      <c r="S49" s="2"/>
      <c r="T49" s="2"/>
      <c r="U49" s="2"/>
      <c r="V49" s="2"/>
      <c r="W49" s="2"/>
      <c r="X49" s="2"/>
      <c r="Y49" s="2"/>
    </row>
    <row r="50">
      <c r="A50" s="5" t="str">
        <f>IFERROR(__xludf.DUMMYFUNCTION("LEFT(A49, 4) &amp; TEXT(VALUE(REGEXEXTRACT(A49, ""\d+"")) + 1, ""0000"")"),"SOM-0048")</f>
        <v>SOM-0048</v>
      </c>
      <c r="B50" s="3" t="s">
        <v>880</v>
      </c>
      <c r="C50" s="3" t="s">
        <v>916</v>
      </c>
      <c r="D50" s="2" t="str">
        <f t="shared" si="1"/>
        <v>DESASTRAR | D</v>
      </c>
      <c r="E50" s="3" t="s">
        <v>76</v>
      </c>
      <c r="F50" s="3" t="s">
        <v>29</v>
      </c>
      <c r="G50" s="3" t="s">
        <v>317</v>
      </c>
      <c r="H50" s="3" t="s">
        <v>917</v>
      </c>
      <c r="I50" s="3">
        <v>8.0</v>
      </c>
      <c r="J50" s="3" t="s">
        <v>23</v>
      </c>
      <c r="K50" s="3" t="s">
        <v>95</v>
      </c>
      <c r="L50" s="6" t="s">
        <v>72</v>
      </c>
      <c r="M50" s="3" t="s">
        <v>821</v>
      </c>
      <c r="N50" s="3" t="s">
        <v>133</v>
      </c>
      <c r="O50" s="3" t="s">
        <v>131</v>
      </c>
      <c r="P50" s="3" t="s">
        <v>919</v>
      </c>
      <c r="Q50" s="2"/>
      <c r="R50" s="2"/>
      <c r="S50" s="2"/>
      <c r="T50" s="2"/>
      <c r="U50" s="2"/>
      <c r="V50" s="2"/>
      <c r="W50" s="2"/>
      <c r="X50" s="2"/>
      <c r="Y50" s="2"/>
    </row>
    <row r="51">
      <c r="A51" s="5" t="str">
        <f>IFERROR(__xludf.DUMMYFUNCTION("LEFT(A50, 4) &amp; TEXT(VALUE(REGEXEXTRACT(A50, ""\d+"")) + 1, ""0000"")"),"SOM-0049")</f>
        <v>SOM-0049</v>
      </c>
      <c r="B51" s="3" t="s">
        <v>880</v>
      </c>
      <c r="C51" s="3" t="s">
        <v>916</v>
      </c>
      <c r="D51" s="2" t="str">
        <f t="shared" si="1"/>
        <v>DESASTRAR | D</v>
      </c>
      <c r="E51" s="3" t="s">
        <v>76</v>
      </c>
      <c r="F51" s="3" t="s">
        <v>30</v>
      </c>
      <c r="G51" s="3" t="s">
        <v>317</v>
      </c>
      <c r="H51" s="3" t="s">
        <v>917</v>
      </c>
      <c r="I51" s="3">
        <v>8.0</v>
      </c>
      <c r="J51" s="3" t="s">
        <v>23</v>
      </c>
      <c r="K51" s="3" t="s">
        <v>95</v>
      </c>
      <c r="L51" s="6" t="s">
        <v>39</v>
      </c>
      <c r="M51" s="3" t="s">
        <v>821</v>
      </c>
      <c r="N51" s="3" t="s">
        <v>135</v>
      </c>
      <c r="O51" s="3" t="s">
        <v>136</v>
      </c>
      <c r="P51" s="3" t="s">
        <v>920</v>
      </c>
      <c r="Q51" s="2"/>
      <c r="R51" s="2"/>
      <c r="S51" s="2"/>
      <c r="T51" s="2"/>
      <c r="U51" s="2"/>
      <c r="V51" s="2"/>
      <c r="W51" s="2"/>
      <c r="X51" s="2"/>
      <c r="Y51" s="2"/>
    </row>
    <row r="52">
      <c r="A52" s="5" t="str">
        <f>IFERROR(__xludf.DUMMYFUNCTION("LEFT(A51, 4) &amp; TEXT(VALUE(REGEXEXTRACT(A51, ""\d+"")) + 1, ""0000"")"),"SOM-0050")</f>
        <v>SOM-0050</v>
      </c>
      <c r="B52" s="3" t="s">
        <v>880</v>
      </c>
      <c r="C52" s="3" t="s">
        <v>921</v>
      </c>
      <c r="D52" s="2" t="str">
        <f t="shared" si="1"/>
        <v>FATIGAR | D</v>
      </c>
      <c r="E52" s="3" t="s">
        <v>76</v>
      </c>
      <c r="F52" s="3" t="s">
        <v>21</v>
      </c>
      <c r="G52" s="3" t="s">
        <v>317</v>
      </c>
      <c r="H52" s="3" t="s">
        <v>917</v>
      </c>
      <c r="I52" s="3">
        <v>8.0</v>
      </c>
      <c r="J52" s="3" t="s">
        <v>23</v>
      </c>
      <c r="K52" s="3" t="s">
        <v>95</v>
      </c>
      <c r="L52" s="6" t="s">
        <v>65</v>
      </c>
      <c r="M52" s="3" t="s">
        <v>821</v>
      </c>
      <c r="N52" s="3" t="s">
        <v>125</v>
      </c>
      <c r="O52" s="3" t="s">
        <v>126</v>
      </c>
      <c r="P52" s="3" t="s">
        <v>922</v>
      </c>
      <c r="Q52" s="3" t="s">
        <v>923</v>
      </c>
      <c r="R52" s="2"/>
      <c r="S52" s="2"/>
      <c r="T52" s="2"/>
      <c r="U52" s="2"/>
      <c r="V52" s="2"/>
      <c r="W52" s="2"/>
      <c r="X52" s="2"/>
      <c r="Y52" s="2"/>
    </row>
    <row r="53">
      <c r="A53" s="5" t="str">
        <f>IFERROR(__xludf.DUMMYFUNCTION("LEFT(A52, 4) &amp; TEXT(VALUE(REGEXEXTRACT(A52, ""\d+"")) + 1, ""0000"")"),"SOM-0051")</f>
        <v>SOM-0051</v>
      </c>
      <c r="B53" s="3" t="s">
        <v>880</v>
      </c>
      <c r="C53" s="3" t="s">
        <v>921</v>
      </c>
      <c r="D53" s="2" t="str">
        <f t="shared" si="1"/>
        <v>FATIGAR | D</v>
      </c>
      <c r="E53" s="3" t="s">
        <v>76</v>
      </c>
      <c r="F53" s="3" t="s">
        <v>27</v>
      </c>
      <c r="G53" s="3" t="s">
        <v>317</v>
      </c>
      <c r="H53" s="3" t="s">
        <v>917</v>
      </c>
      <c r="I53" s="3">
        <v>8.0</v>
      </c>
      <c r="J53" s="3" t="s">
        <v>23</v>
      </c>
      <c r="K53" s="3" t="s">
        <v>95</v>
      </c>
      <c r="L53" s="6" t="s">
        <v>35</v>
      </c>
      <c r="M53" s="3" t="s">
        <v>821</v>
      </c>
      <c r="N53" s="3" t="s">
        <v>128</v>
      </c>
      <c r="O53" s="3" t="s">
        <v>126</v>
      </c>
      <c r="P53" s="3" t="s">
        <v>922</v>
      </c>
      <c r="Q53" s="3" t="s">
        <v>923</v>
      </c>
      <c r="R53" s="2"/>
      <c r="S53" s="2"/>
      <c r="T53" s="2"/>
      <c r="U53" s="2"/>
      <c r="V53" s="2"/>
      <c r="W53" s="2"/>
      <c r="X53" s="2"/>
      <c r="Y53" s="2"/>
    </row>
    <row r="54">
      <c r="A54" s="5" t="str">
        <f>IFERROR(__xludf.DUMMYFUNCTION("LEFT(A53, 4) &amp; TEXT(VALUE(REGEXEXTRACT(A53, ""\d+"")) + 1, ""0000"")"),"SOM-0052")</f>
        <v>SOM-0052</v>
      </c>
      <c r="B54" s="3" t="s">
        <v>880</v>
      </c>
      <c r="C54" s="3" t="s">
        <v>921</v>
      </c>
      <c r="D54" s="2" t="str">
        <f t="shared" si="1"/>
        <v>FATIGAR | D</v>
      </c>
      <c r="E54" s="3" t="s">
        <v>76</v>
      </c>
      <c r="F54" s="3" t="s">
        <v>28</v>
      </c>
      <c r="G54" s="3" t="s">
        <v>317</v>
      </c>
      <c r="H54" s="3" t="s">
        <v>917</v>
      </c>
      <c r="I54" s="3">
        <v>8.0</v>
      </c>
      <c r="J54" s="3" t="s">
        <v>23</v>
      </c>
      <c r="K54" s="3" t="s">
        <v>95</v>
      </c>
      <c r="L54" s="6" t="s">
        <v>70</v>
      </c>
      <c r="M54" s="3" t="s">
        <v>821</v>
      </c>
      <c r="N54" s="3" t="s">
        <v>130</v>
      </c>
      <c r="O54" s="3" t="s">
        <v>131</v>
      </c>
      <c r="P54" s="3" t="s">
        <v>922</v>
      </c>
      <c r="Q54" s="3" t="s">
        <v>923</v>
      </c>
      <c r="R54" s="2"/>
      <c r="S54" s="2"/>
      <c r="T54" s="2"/>
      <c r="U54" s="2"/>
      <c r="V54" s="2"/>
      <c r="W54" s="2"/>
      <c r="X54" s="2"/>
      <c r="Y54" s="2"/>
    </row>
    <row r="55">
      <c r="A55" s="5" t="str">
        <f>IFERROR(__xludf.DUMMYFUNCTION("LEFT(A54, 4) &amp; TEXT(VALUE(REGEXEXTRACT(A54, ""\d+"")) + 1, ""0000"")"),"SOM-0053")</f>
        <v>SOM-0053</v>
      </c>
      <c r="B55" s="3" t="s">
        <v>880</v>
      </c>
      <c r="C55" s="3" t="s">
        <v>921</v>
      </c>
      <c r="D55" s="2" t="str">
        <f t="shared" si="1"/>
        <v>FATIGAR | D</v>
      </c>
      <c r="E55" s="3" t="s">
        <v>76</v>
      </c>
      <c r="F55" s="3" t="s">
        <v>29</v>
      </c>
      <c r="G55" s="3" t="s">
        <v>317</v>
      </c>
      <c r="H55" s="3" t="s">
        <v>917</v>
      </c>
      <c r="I55" s="3">
        <v>8.0</v>
      </c>
      <c r="J55" s="3" t="s">
        <v>23</v>
      </c>
      <c r="K55" s="3" t="s">
        <v>95</v>
      </c>
      <c r="L55" s="6" t="s">
        <v>72</v>
      </c>
      <c r="M55" s="3" t="s">
        <v>821</v>
      </c>
      <c r="N55" s="3" t="s">
        <v>133</v>
      </c>
      <c r="O55" s="3" t="s">
        <v>131</v>
      </c>
      <c r="P55" s="3" t="s">
        <v>922</v>
      </c>
      <c r="Q55" s="3" t="s">
        <v>923</v>
      </c>
      <c r="R55" s="2"/>
      <c r="S55" s="2"/>
      <c r="T55" s="2"/>
      <c r="U55" s="2"/>
      <c r="V55" s="2"/>
      <c r="W55" s="2"/>
      <c r="X55" s="2"/>
      <c r="Y55" s="2"/>
    </row>
    <row r="56">
      <c r="A56" s="5" t="str">
        <f>IFERROR(__xludf.DUMMYFUNCTION("LEFT(A55, 4) &amp; TEXT(VALUE(REGEXEXTRACT(A55, ""\d+"")) + 1, ""0000"")"),"SOM-0054")</f>
        <v>SOM-0054</v>
      </c>
      <c r="B56" s="3" t="s">
        <v>880</v>
      </c>
      <c r="C56" s="3" t="s">
        <v>921</v>
      </c>
      <c r="D56" s="2" t="str">
        <f t="shared" si="1"/>
        <v>FATIGAR | D</v>
      </c>
      <c r="E56" s="3" t="s">
        <v>76</v>
      </c>
      <c r="F56" s="3" t="s">
        <v>30</v>
      </c>
      <c r="G56" s="3" t="s">
        <v>317</v>
      </c>
      <c r="H56" s="3" t="s">
        <v>917</v>
      </c>
      <c r="I56" s="3">
        <v>8.0</v>
      </c>
      <c r="J56" s="3" t="s">
        <v>23</v>
      </c>
      <c r="K56" s="3" t="s">
        <v>95</v>
      </c>
      <c r="L56" s="6" t="s">
        <v>39</v>
      </c>
      <c r="M56" s="3" t="s">
        <v>821</v>
      </c>
      <c r="N56" s="3" t="s">
        <v>135</v>
      </c>
      <c r="O56" s="3" t="s">
        <v>136</v>
      </c>
      <c r="P56" s="3" t="s">
        <v>922</v>
      </c>
      <c r="Q56" s="3" t="s">
        <v>923</v>
      </c>
      <c r="R56" s="2"/>
      <c r="S56" s="2"/>
      <c r="T56" s="2"/>
      <c r="U56" s="2"/>
      <c r="V56" s="2"/>
      <c r="W56" s="2"/>
      <c r="X56" s="2"/>
      <c r="Y56" s="2"/>
    </row>
    <row r="57">
      <c r="A57" s="5" t="str">
        <f>IFERROR(__xludf.DUMMYFUNCTION("LEFT(A56, 4) &amp; TEXT(VALUE(REGEXEXTRACT(A56, ""\d+"")) + 1, ""0000"")"),"SOM-0055")</f>
        <v>SOM-0055</v>
      </c>
      <c r="B57" s="3" t="s">
        <v>880</v>
      </c>
      <c r="C57" s="3" t="s">
        <v>924</v>
      </c>
      <c r="D57" s="2" t="str">
        <f t="shared" si="1"/>
        <v>FRAGILIZAR | D</v>
      </c>
      <c r="E57" s="3" t="s">
        <v>76</v>
      </c>
      <c r="F57" s="3" t="s">
        <v>21</v>
      </c>
      <c r="G57" s="3" t="s">
        <v>317</v>
      </c>
      <c r="H57" s="3" t="s">
        <v>917</v>
      </c>
      <c r="I57" s="3">
        <v>8.0</v>
      </c>
      <c r="J57" s="3" t="s">
        <v>23</v>
      </c>
      <c r="K57" s="3" t="s">
        <v>95</v>
      </c>
      <c r="L57" s="6" t="s">
        <v>65</v>
      </c>
      <c r="M57" s="3" t="s">
        <v>821</v>
      </c>
      <c r="N57" s="3" t="s">
        <v>125</v>
      </c>
      <c r="O57" s="3" t="s">
        <v>126</v>
      </c>
      <c r="P57" s="3" t="s">
        <v>925</v>
      </c>
      <c r="Q57" s="3" t="s">
        <v>926</v>
      </c>
      <c r="R57" s="2"/>
      <c r="S57" s="2"/>
      <c r="T57" s="2"/>
      <c r="U57" s="2"/>
      <c r="V57" s="2"/>
      <c r="W57" s="2"/>
      <c r="X57" s="2"/>
      <c r="Y57" s="2"/>
    </row>
    <row r="58">
      <c r="A58" s="5" t="str">
        <f>IFERROR(__xludf.DUMMYFUNCTION("LEFT(A57, 4) &amp; TEXT(VALUE(REGEXEXTRACT(A57, ""\d+"")) + 1, ""0000"")"),"SOM-0056")</f>
        <v>SOM-0056</v>
      </c>
      <c r="B58" s="3" t="s">
        <v>880</v>
      </c>
      <c r="C58" s="3" t="s">
        <v>924</v>
      </c>
      <c r="D58" s="2" t="str">
        <f t="shared" si="1"/>
        <v>FRAGILIZAR | D</v>
      </c>
      <c r="E58" s="3" t="s">
        <v>76</v>
      </c>
      <c r="F58" s="3" t="s">
        <v>27</v>
      </c>
      <c r="G58" s="3" t="s">
        <v>317</v>
      </c>
      <c r="H58" s="3" t="s">
        <v>917</v>
      </c>
      <c r="I58" s="3">
        <v>8.0</v>
      </c>
      <c r="J58" s="3" t="s">
        <v>23</v>
      </c>
      <c r="K58" s="3" t="s">
        <v>95</v>
      </c>
      <c r="L58" s="6" t="s">
        <v>35</v>
      </c>
      <c r="M58" s="3" t="s">
        <v>821</v>
      </c>
      <c r="N58" s="3" t="s">
        <v>128</v>
      </c>
      <c r="O58" s="3" t="s">
        <v>126</v>
      </c>
      <c r="P58" s="3" t="s">
        <v>925</v>
      </c>
      <c r="Q58" s="3" t="s">
        <v>926</v>
      </c>
      <c r="R58" s="2"/>
      <c r="S58" s="2"/>
      <c r="T58" s="2"/>
      <c r="U58" s="2"/>
      <c r="V58" s="2"/>
      <c r="W58" s="2"/>
      <c r="X58" s="2"/>
      <c r="Y58" s="2"/>
    </row>
    <row r="59">
      <c r="A59" s="5" t="str">
        <f>IFERROR(__xludf.DUMMYFUNCTION("LEFT(A58, 4) &amp; TEXT(VALUE(REGEXEXTRACT(A58, ""\d+"")) + 1, ""0000"")"),"SOM-0057")</f>
        <v>SOM-0057</v>
      </c>
      <c r="B59" s="3" t="s">
        <v>880</v>
      </c>
      <c r="C59" s="3" t="s">
        <v>924</v>
      </c>
      <c r="D59" s="2" t="str">
        <f t="shared" si="1"/>
        <v>FRAGILIZAR | D</v>
      </c>
      <c r="E59" s="3" t="s">
        <v>76</v>
      </c>
      <c r="F59" s="3" t="s">
        <v>28</v>
      </c>
      <c r="G59" s="3" t="s">
        <v>317</v>
      </c>
      <c r="H59" s="3" t="s">
        <v>917</v>
      </c>
      <c r="I59" s="3">
        <v>8.0</v>
      </c>
      <c r="J59" s="3" t="s">
        <v>23</v>
      </c>
      <c r="K59" s="3" t="s">
        <v>95</v>
      </c>
      <c r="L59" s="6" t="s">
        <v>70</v>
      </c>
      <c r="M59" s="3" t="s">
        <v>821</v>
      </c>
      <c r="N59" s="3" t="s">
        <v>130</v>
      </c>
      <c r="O59" s="3" t="s">
        <v>131</v>
      </c>
      <c r="P59" s="3" t="s">
        <v>925</v>
      </c>
      <c r="Q59" s="3" t="s">
        <v>926</v>
      </c>
      <c r="R59" s="2"/>
      <c r="S59" s="2"/>
      <c r="T59" s="2"/>
      <c r="U59" s="2"/>
      <c r="V59" s="2"/>
      <c r="W59" s="2"/>
      <c r="X59" s="2"/>
      <c r="Y59" s="2"/>
    </row>
    <row r="60">
      <c r="A60" s="5" t="str">
        <f>IFERROR(__xludf.DUMMYFUNCTION("LEFT(A59, 4) &amp; TEXT(VALUE(REGEXEXTRACT(A59, ""\d+"")) + 1, ""0000"")"),"SOM-0058")</f>
        <v>SOM-0058</v>
      </c>
      <c r="B60" s="3" t="s">
        <v>880</v>
      </c>
      <c r="C60" s="3" t="s">
        <v>924</v>
      </c>
      <c r="D60" s="2" t="str">
        <f t="shared" si="1"/>
        <v>FRAGILIZAR | D</v>
      </c>
      <c r="E60" s="3" t="s">
        <v>76</v>
      </c>
      <c r="F60" s="3" t="s">
        <v>29</v>
      </c>
      <c r="G60" s="3" t="s">
        <v>317</v>
      </c>
      <c r="H60" s="3" t="s">
        <v>917</v>
      </c>
      <c r="I60" s="3">
        <v>8.0</v>
      </c>
      <c r="J60" s="3" t="s">
        <v>23</v>
      </c>
      <c r="K60" s="3" t="s">
        <v>95</v>
      </c>
      <c r="L60" s="6" t="s">
        <v>72</v>
      </c>
      <c r="M60" s="3" t="s">
        <v>821</v>
      </c>
      <c r="N60" s="3" t="s">
        <v>133</v>
      </c>
      <c r="O60" s="3" t="s">
        <v>131</v>
      </c>
      <c r="P60" s="3" t="s">
        <v>925</v>
      </c>
      <c r="Q60" s="3" t="s">
        <v>926</v>
      </c>
      <c r="R60" s="2"/>
      <c r="S60" s="2"/>
      <c r="T60" s="2"/>
      <c r="U60" s="2"/>
      <c r="V60" s="2"/>
      <c r="W60" s="2"/>
      <c r="X60" s="2"/>
      <c r="Y60" s="2"/>
    </row>
    <row r="61">
      <c r="A61" s="5" t="str">
        <f>IFERROR(__xludf.DUMMYFUNCTION("LEFT(A60, 4) &amp; TEXT(VALUE(REGEXEXTRACT(A60, ""\d+"")) + 1, ""0000"")"),"SOM-0059")</f>
        <v>SOM-0059</v>
      </c>
      <c r="B61" s="3" t="s">
        <v>880</v>
      </c>
      <c r="C61" s="3" t="s">
        <v>924</v>
      </c>
      <c r="D61" s="2" t="str">
        <f t="shared" si="1"/>
        <v>FRAGILIZAR | D</v>
      </c>
      <c r="E61" s="3" t="s">
        <v>76</v>
      </c>
      <c r="F61" s="3" t="s">
        <v>30</v>
      </c>
      <c r="G61" s="3" t="s">
        <v>317</v>
      </c>
      <c r="H61" s="3" t="s">
        <v>917</v>
      </c>
      <c r="I61" s="3">
        <v>8.0</v>
      </c>
      <c r="J61" s="3" t="s">
        <v>23</v>
      </c>
      <c r="K61" s="3" t="s">
        <v>95</v>
      </c>
      <c r="L61" s="6" t="s">
        <v>39</v>
      </c>
      <c r="M61" s="3" t="s">
        <v>821</v>
      </c>
      <c r="N61" s="3" t="s">
        <v>135</v>
      </c>
      <c r="O61" s="3" t="s">
        <v>136</v>
      </c>
      <c r="P61" s="3" t="s">
        <v>925</v>
      </c>
      <c r="Q61" s="3" t="s">
        <v>926</v>
      </c>
      <c r="R61" s="2"/>
      <c r="S61" s="2"/>
      <c r="T61" s="2"/>
      <c r="U61" s="2"/>
      <c r="V61" s="2"/>
      <c r="W61" s="2"/>
      <c r="X61" s="2"/>
      <c r="Y61" s="2"/>
    </row>
    <row r="62">
      <c r="A62" s="5" t="str">
        <f>IFERROR(__xludf.DUMMYFUNCTION("LEFT(A61, 4) &amp; TEXT(VALUE(REGEXEXTRACT(A61, ""\d+"")) + 1, ""0000"")"),"SOM-0060")</f>
        <v>SOM-0060</v>
      </c>
      <c r="B62" s="3" t="s">
        <v>880</v>
      </c>
      <c r="C62" s="3" t="s">
        <v>927</v>
      </c>
      <c r="D62" s="2" t="str">
        <f t="shared" si="1"/>
        <v>OLHOS ATENTOS | M</v>
      </c>
      <c r="E62" s="3" t="s">
        <v>48</v>
      </c>
      <c r="F62" s="3" t="s">
        <v>21</v>
      </c>
      <c r="G62" s="3" t="s">
        <v>928</v>
      </c>
      <c r="H62" s="3" t="s">
        <v>33</v>
      </c>
      <c r="I62" s="3">
        <v>4.0</v>
      </c>
      <c r="J62" s="3" t="s">
        <v>126</v>
      </c>
      <c r="K62" s="3" t="s">
        <v>34</v>
      </c>
      <c r="L62" s="6" t="s">
        <v>65</v>
      </c>
      <c r="M62" s="3" t="s">
        <v>65</v>
      </c>
      <c r="N62" s="3" t="s">
        <v>929</v>
      </c>
      <c r="O62" s="3" t="s">
        <v>126</v>
      </c>
      <c r="P62" s="3" t="s">
        <v>930</v>
      </c>
      <c r="Q62" s="2"/>
      <c r="R62" s="2"/>
      <c r="S62" s="2"/>
      <c r="T62" s="2"/>
      <c r="U62" s="2"/>
      <c r="V62" s="2"/>
      <c r="W62" s="2"/>
      <c r="X62" s="2"/>
      <c r="Y62" s="2"/>
    </row>
    <row r="63">
      <c r="A63" s="5" t="str">
        <f>IFERROR(__xludf.DUMMYFUNCTION("LEFT(A62, 4) &amp; TEXT(VALUE(REGEXEXTRACT(A62, ""\d+"")) + 1, ""0000"")"),"SOM-0061")</f>
        <v>SOM-0061</v>
      </c>
      <c r="B63" s="3" t="s">
        <v>880</v>
      </c>
      <c r="C63" s="3" t="s">
        <v>927</v>
      </c>
      <c r="D63" s="2" t="str">
        <f t="shared" si="1"/>
        <v>OLHOS ATENTOS | M</v>
      </c>
      <c r="E63" s="3" t="s">
        <v>48</v>
      </c>
      <c r="F63" s="3" t="s">
        <v>27</v>
      </c>
      <c r="G63" s="3" t="s">
        <v>928</v>
      </c>
      <c r="H63" s="3" t="s">
        <v>33</v>
      </c>
      <c r="I63" s="3">
        <v>4.0</v>
      </c>
      <c r="J63" s="3" t="s">
        <v>126</v>
      </c>
      <c r="K63" s="3" t="s">
        <v>34</v>
      </c>
      <c r="L63" s="6" t="s">
        <v>35</v>
      </c>
      <c r="M63" s="3" t="s">
        <v>65</v>
      </c>
      <c r="N63" s="3" t="s">
        <v>931</v>
      </c>
      <c r="O63" s="3" t="s">
        <v>126</v>
      </c>
      <c r="P63" s="3" t="s">
        <v>932</v>
      </c>
      <c r="Q63" s="2"/>
      <c r="R63" s="2"/>
      <c r="S63" s="2"/>
      <c r="T63" s="2"/>
      <c r="U63" s="2"/>
      <c r="V63" s="2"/>
      <c r="W63" s="2"/>
      <c r="X63" s="2"/>
      <c r="Y63" s="2"/>
    </row>
    <row r="64">
      <c r="A64" s="5" t="str">
        <f>IFERROR(__xludf.DUMMYFUNCTION("LEFT(A63, 4) &amp; TEXT(VALUE(REGEXEXTRACT(A63, ""\d+"")) + 1, ""0000"")"),"SOM-0062")</f>
        <v>SOM-0062</v>
      </c>
      <c r="B64" s="3" t="s">
        <v>880</v>
      </c>
      <c r="C64" s="3" t="s">
        <v>927</v>
      </c>
      <c r="D64" s="2" t="str">
        <f t="shared" si="1"/>
        <v>OLHOS ATENTOS | M</v>
      </c>
      <c r="E64" s="3" t="s">
        <v>48</v>
      </c>
      <c r="F64" s="3" t="s">
        <v>28</v>
      </c>
      <c r="G64" s="3" t="s">
        <v>928</v>
      </c>
      <c r="H64" s="3" t="s">
        <v>33</v>
      </c>
      <c r="I64" s="3">
        <v>4.0</v>
      </c>
      <c r="J64" s="3" t="s">
        <v>50</v>
      </c>
      <c r="K64" s="3" t="s">
        <v>34</v>
      </c>
      <c r="L64" s="6" t="s">
        <v>70</v>
      </c>
      <c r="M64" s="3" t="s">
        <v>35</v>
      </c>
      <c r="N64" s="3" t="s">
        <v>933</v>
      </c>
      <c r="O64" s="3" t="s">
        <v>131</v>
      </c>
      <c r="P64" s="3" t="s">
        <v>934</v>
      </c>
      <c r="Q64" s="2"/>
      <c r="R64" s="2"/>
      <c r="S64" s="2"/>
      <c r="T64" s="2"/>
      <c r="U64" s="2"/>
      <c r="V64" s="2"/>
      <c r="W64" s="2"/>
      <c r="X64" s="2"/>
      <c r="Y64" s="2"/>
    </row>
    <row r="65">
      <c r="A65" s="5" t="str">
        <f>IFERROR(__xludf.DUMMYFUNCTION("LEFT(A64, 4) &amp; TEXT(VALUE(REGEXEXTRACT(A64, ""\d+"")) + 1, ""0000"")"),"SOM-0063")</f>
        <v>SOM-0063</v>
      </c>
      <c r="B65" s="3" t="s">
        <v>880</v>
      </c>
      <c r="C65" s="3" t="s">
        <v>927</v>
      </c>
      <c r="D65" s="2" t="str">
        <f t="shared" si="1"/>
        <v>OLHOS ATENTOS | M</v>
      </c>
      <c r="E65" s="3" t="s">
        <v>48</v>
      </c>
      <c r="F65" s="3" t="s">
        <v>29</v>
      </c>
      <c r="G65" s="3" t="s">
        <v>928</v>
      </c>
      <c r="H65" s="3" t="s">
        <v>33</v>
      </c>
      <c r="I65" s="3">
        <v>4.0</v>
      </c>
      <c r="J65" s="3" t="s">
        <v>50</v>
      </c>
      <c r="K65" s="3" t="s">
        <v>34</v>
      </c>
      <c r="L65" s="6" t="s">
        <v>72</v>
      </c>
      <c r="M65" s="3" t="s">
        <v>35</v>
      </c>
      <c r="N65" s="3" t="s">
        <v>935</v>
      </c>
      <c r="O65" s="3" t="s">
        <v>131</v>
      </c>
      <c r="P65" s="3" t="s">
        <v>936</v>
      </c>
      <c r="Q65" s="2"/>
      <c r="R65" s="2"/>
      <c r="S65" s="2"/>
      <c r="T65" s="2"/>
      <c r="U65" s="2"/>
      <c r="V65" s="2"/>
      <c r="W65" s="2"/>
      <c r="X65" s="2"/>
      <c r="Y65" s="2"/>
    </row>
    <row r="66">
      <c r="A66" s="5" t="str">
        <f>IFERROR(__xludf.DUMMYFUNCTION("LEFT(A65, 4) &amp; TEXT(VALUE(REGEXEXTRACT(A65, ""\d+"")) + 1, ""0000"")"),"SOM-0064")</f>
        <v>SOM-0064</v>
      </c>
      <c r="B66" s="3" t="s">
        <v>880</v>
      </c>
      <c r="C66" s="3" t="s">
        <v>927</v>
      </c>
      <c r="D66" s="2" t="str">
        <f t="shared" si="1"/>
        <v>OLHOS ATENTOS | M</v>
      </c>
      <c r="E66" s="3" t="s">
        <v>48</v>
      </c>
      <c r="F66" s="3" t="s">
        <v>30</v>
      </c>
      <c r="G66" s="3" t="s">
        <v>928</v>
      </c>
      <c r="H66" s="3" t="s">
        <v>33</v>
      </c>
      <c r="I66" s="3">
        <v>4.0</v>
      </c>
      <c r="J66" s="3" t="s">
        <v>23</v>
      </c>
      <c r="K66" s="3" t="s">
        <v>34</v>
      </c>
      <c r="L66" s="6" t="s">
        <v>39</v>
      </c>
      <c r="M66" s="3" t="s">
        <v>253</v>
      </c>
      <c r="N66" s="3" t="s">
        <v>937</v>
      </c>
      <c r="O66" s="3" t="s">
        <v>136</v>
      </c>
      <c r="P66" s="3" t="s">
        <v>938</v>
      </c>
      <c r="Q66" s="2"/>
      <c r="R66" s="2"/>
      <c r="S66" s="2"/>
      <c r="T66" s="2"/>
      <c r="U66" s="2"/>
      <c r="V66" s="2"/>
      <c r="W66" s="2"/>
      <c r="X66" s="2"/>
      <c r="Y66" s="2"/>
    </row>
    <row r="67">
      <c r="A67" s="5" t="str">
        <f>IFERROR(__xludf.DUMMYFUNCTION("LEFT(A66, 4) &amp; TEXT(VALUE(REGEXEXTRACT(A66, ""\d+"")) + 1, ""0000"")"),"SOM-0065")</f>
        <v>SOM-0065</v>
      </c>
      <c r="B67" s="3" t="s">
        <v>880</v>
      </c>
      <c r="C67" s="3" t="s">
        <v>939</v>
      </c>
      <c r="D67" s="2" t="str">
        <f t="shared" si="1"/>
        <v>OLHOS DESATENTOS | M</v>
      </c>
      <c r="E67" s="3" t="s">
        <v>48</v>
      </c>
      <c r="F67" s="3" t="s">
        <v>21</v>
      </c>
      <c r="G67" s="3" t="s">
        <v>928</v>
      </c>
      <c r="H67" s="3" t="s">
        <v>33</v>
      </c>
      <c r="I67" s="3">
        <v>4.0</v>
      </c>
      <c r="J67" s="3" t="s">
        <v>126</v>
      </c>
      <c r="K67" s="3" t="s">
        <v>34</v>
      </c>
      <c r="L67" s="6" t="s">
        <v>65</v>
      </c>
      <c r="M67" s="3" t="s">
        <v>65</v>
      </c>
      <c r="N67" s="3" t="s">
        <v>940</v>
      </c>
      <c r="O67" s="3" t="s">
        <v>126</v>
      </c>
      <c r="P67" s="4" t="s">
        <v>941</v>
      </c>
      <c r="Q67" s="2"/>
      <c r="R67" s="2"/>
      <c r="S67" s="2"/>
      <c r="T67" s="2"/>
      <c r="U67" s="2"/>
      <c r="V67" s="2"/>
      <c r="W67" s="2"/>
      <c r="X67" s="2"/>
      <c r="Y67" s="2"/>
    </row>
    <row r="68">
      <c r="A68" s="5" t="str">
        <f>IFERROR(__xludf.DUMMYFUNCTION("LEFT(A67, 4) &amp; TEXT(VALUE(REGEXEXTRACT(A67, ""\d+"")) + 1, ""0000"")"),"SOM-0066")</f>
        <v>SOM-0066</v>
      </c>
      <c r="B68" s="3" t="s">
        <v>880</v>
      </c>
      <c r="C68" s="3" t="s">
        <v>939</v>
      </c>
      <c r="D68" s="2" t="str">
        <f t="shared" si="1"/>
        <v>OLHOS DESATENTOS | M</v>
      </c>
      <c r="E68" s="3" t="s">
        <v>48</v>
      </c>
      <c r="F68" s="3" t="s">
        <v>27</v>
      </c>
      <c r="G68" s="3" t="s">
        <v>928</v>
      </c>
      <c r="H68" s="3" t="s">
        <v>33</v>
      </c>
      <c r="I68" s="3">
        <v>4.0</v>
      </c>
      <c r="J68" s="3" t="s">
        <v>126</v>
      </c>
      <c r="K68" s="3" t="s">
        <v>34</v>
      </c>
      <c r="L68" s="6" t="s">
        <v>35</v>
      </c>
      <c r="M68" s="3" t="s">
        <v>65</v>
      </c>
      <c r="N68" s="3" t="s">
        <v>942</v>
      </c>
      <c r="O68" s="3" t="s">
        <v>126</v>
      </c>
      <c r="P68" s="4" t="s">
        <v>943</v>
      </c>
      <c r="Q68" s="2"/>
      <c r="R68" s="2"/>
      <c r="S68" s="2"/>
      <c r="T68" s="2"/>
      <c r="U68" s="2"/>
      <c r="V68" s="2"/>
      <c r="W68" s="2"/>
      <c r="X68" s="2"/>
      <c r="Y68" s="2"/>
    </row>
    <row r="69">
      <c r="A69" s="5" t="str">
        <f>IFERROR(__xludf.DUMMYFUNCTION("LEFT(A68, 4) &amp; TEXT(VALUE(REGEXEXTRACT(A68, ""\d+"")) + 1, ""0000"")"),"SOM-0067")</f>
        <v>SOM-0067</v>
      </c>
      <c r="B69" s="3" t="s">
        <v>880</v>
      </c>
      <c r="C69" s="3" t="s">
        <v>939</v>
      </c>
      <c r="D69" s="2" t="str">
        <f t="shared" si="1"/>
        <v>OLHOS DESATENTOS | M</v>
      </c>
      <c r="E69" s="3" t="s">
        <v>48</v>
      </c>
      <c r="F69" s="3" t="s">
        <v>28</v>
      </c>
      <c r="G69" s="3" t="s">
        <v>928</v>
      </c>
      <c r="H69" s="3" t="s">
        <v>33</v>
      </c>
      <c r="I69" s="3">
        <v>4.0</v>
      </c>
      <c r="J69" s="3" t="s">
        <v>50</v>
      </c>
      <c r="K69" s="3" t="s">
        <v>34</v>
      </c>
      <c r="L69" s="6" t="s">
        <v>70</v>
      </c>
      <c r="M69" s="3" t="s">
        <v>35</v>
      </c>
      <c r="N69" s="3" t="s">
        <v>944</v>
      </c>
      <c r="O69" s="3" t="s">
        <v>131</v>
      </c>
      <c r="P69" s="4" t="s">
        <v>945</v>
      </c>
      <c r="Q69" s="2"/>
      <c r="R69" s="2"/>
      <c r="S69" s="2"/>
      <c r="T69" s="2"/>
      <c r="U69" s="2"/>
      <c r="V69" s="2"/>
      <c r="W69" s="2"/>
      <c r="X69" s="2"/>
      <c r="Y69" s="2"/>
    </row>
    <row r="70">
      <c r="A70" s="5" t="str">
        <f>IFERROR(__xludf.DUMMYFUNCTION("LEFT(A69, 4) &amp; TEXT(VALUE(REGEXEXTRACT(A69, ""\d+"")) + 1, ""0000"")"),"SOM-0068")</f>
        <v>SOM-0068</v>
      </c>
      <c r="B70" s="3" t="s">
        <v>880</v>
      </c>
      <c r="C70" s="3" t="s">
        <v>939</v>
      </c>
      <c r="D70" s="2" t="str">
        <f t="shared" si="1"/>
        <v>OLHOS DESATENTOS | M</v>
      </c>
      <c r="E70" s="3" t="s">
        <v>48</v>
      </c>
      <c r="F70" s="3" t="s">
        <v>29</v>
      </c>
      <c r="G70" s="3" t="s">
        <v>928</v>
      </c>
      <c r="H70" s="3" t="s">
        <v>33</v>
      </c>
      <c r="I70" s="3">
        <v>4.0</v>
      </c>
      <c r="J70" s="3" t="s">
        <v>50</v>
      </c>
      <c r="K70" s="3" t="s">
        <v>34</v>
      </c>
      <c r="L70" s="6" t="s">
        <v>72</v>
      </c>
      <c r="M70" s="3" t="s">
        <v>35</v>
      </c>
      <c r="N70" s="3" t="s">
        <v>946</v>
      </c>
      <c r="O70" s="3" t="s">
        <v>131</v>
      </c>
      <c r="P70" s="4" t="s">
        <v>947</v>
      </c>
      <c r="Q70" s="2"/>
      <c r="R70" s="2"/>
      <c r="S70" s="2"/>
      <c r="T70" s="2"/>
      <c r="U70" s="2"/>
      <c r="V70" s="2"/>
      <c r="W70" s="2"/>
      <c r="X70" s="2"/>
      <c r="Y70" s="2"/>
    </row>
    <row r="71">
      <c r="A71" s="5" t="str">
        <f>IFERROR(__xludf.DUMMYFUNCTION("LEFT(A70, 4) &amp; TEXT(VALUE(REGEXEXTRACT(A70, ""\d+"")) + 1, ""0000"")"),"SOM-0069")</f>
        <v>SOM-0069</v>
      </c>
      <c r="B71" s="3" t="s">
        <v>880</v>
      </c>
      <c r="C71" s="3" t="s">
        <v>939</v>
      </c>
      <c r="D71" s="2" t="str">
        <f t="shared" si="1"/>
        <v>OLHOS DESATENTOS | M</v>
      </c>
      <c r="E71" s="3" t="s">
        <v>48</v>
      </c>
      <c r="F71" s="3" t="s">
        <v>30</v>
      </c>
      <c r="G71" s="3" t="s">
        <v>928</v>
      </c>
      <c r="H71" s="3" t="s">
        <v>33</v>
      </c>
      <c r="I71" s="3">
        <v>4.0</v>
      </c>
      <c r="J71" s="3" t="s">
        <v>23</v>
      </c>
      <c r="K71" s="3" t="s">
        <v>34</v>
      </c>
      <c r="L71" s="6" t="s">
        <v>39</v>
      </c>
      <c r="M71" s="3" t="s">
        <v>253</v>
      </c>
      <c r="N71" s="3" t="s">
        <v>948</v>
      </c>
      <c r="O71" s="3" t="s">
        <v>136</v>
      </c>
      <c r="P71" s="4" t="s">
        <v>949</v>
      </c>
      <c r="Q71" s="2"/>
      <c r="R71" s="2"/>
      <c r="S71" s="2"/>
      <c r="T71" s="2"/>
      <c r="U71" s="2"/>
      <c r="V71" s="2"/>
      <c r="W71" s="2"/>
      <c r="X71" s="2"/>
      <c r="Y71" s="2"/>
    </row>
    <row r="72">
      <c r="A72" s="5" t="str">
        <f>IFERROR(__xludf.DUMMYFUNCTION("LEFT(A71, 4) &amp; TEXT(VALUE(REGEXEXTRACT(A71, ""\d+"")) + 1, ""0000"")"),"SOM-0070")</f>
        <v>SOM-0070</v>
      </c>
      <c r="B72" s="3" t="s">
        <v>880</v>
      </c>
      <c r="C72" s="3" t="s">
        <v>950</v>
      </c>
      <c r="D72" s="2" t="str">
        <f t="shared" si="1"/>
        <v>OUVIDOS ATENTOS | M</v>
      </c>
      <c r="E72" s="3" t="s">
        <v>48</v>
      </c>
      <c r="F72" s="3" t="s">
        <v>21</v>
      </c>
      <c r="G72" s="3" t="s">
        <v>928</v>
      </c>
      <c r="H72" s="3" t="s">
        <v>33</v>
      </c>
      <c r="I72" s="3">
        <v>4.0</v>
      </c>
      <c r="J72" s="3" t="s">
        <v>126</v>
      </c>
      <c r="K72" s="3" t="s">
        <v>34</v>
      </c>
      <c r="L72" s="6" t="s">
        <v>65</v>
      </c>
      <c r="M72" s="3" t="s">
        <v>65</v>
      </c>
      <c r="N72" s="3" t="s">
        <v>929</v>
      </c>
      <c r="O72" s="3" t="s">
        <v>126</v>
      </c>
      <c r="P72" s="3" t="s">
        <v>951</v>
      </c>
      <c r="Q72" s="2"/>
      <c r="R72" s="2"/>
      <c r="S72" s="2"/>
      <c r="T72" s="2"/>
      <c r="U72" s="2"/>
      <c r="V72" s="2"/>
      <c r="W72" s="2"/>
      <c r="X72" s="2"/>
      <c r="Y72" s="2"/>
    </row>
    <row r="73">
      <c r="A73" s="5" t="str">
        <f>IFERROR(__xludf.DUMMYFUNCTION("LEFT(A72, 4) &amp; TEXT(VALUE(REGEXEXTRACT(A72, ""\d+"")) + 1, ""0000"")"),"SOM-0071")</f>
        <v>SOM-0071</v>
      </c>
      <c r="B73" s="3" t="s">
        <v>880</v>
      </c>
      <c r="C73" s="3" t="s">
        <v>950</v>
      </c>
      <c r="D73" s="2" t="str">
        <f t="shared" si="1"/>
        <v>OUVIDOS ATENTOS | M</v>
      </c>
      <c r="E73" s="3" t="s">
        <v>48</v>
      </c>
      <c r="F73" s="3" t="s">
        <v>27</v>
      </c>
      <c r="G73" s="3" t="s">
        <v>928</v>
      </c>
      <c r="H73" s="3" t="s">
        <v>33</v>
      </c>
      <c r="I73" s="3">
        <v>4.0</v>
      </c>
      <c r="J73" s="3" t="s">
        <v>126</v>
      </c>
      <c r="K73" s="3" t="s">
        <v>34</v>
      </c>
      <c r="L73" s="6" t="s">
        <v>35</v>
      </c>
      <c r="M73" s="3" t="s">
        <v>65</v>
      </c>
      <c r="N73" s="3" t="s">
        <v>931</v>
      </c>
      <c r="O73" s="3" t="s">
        <v>126</v>
      </c>
      <c r="P73" s="3" t="s">
        <v>952</v>
      </c>
      <c r="Q73" s="2"/>
      <c r="R73" s="2"/>
      <c r="S73" s="2"/>
      <c r="T73" s="2"/>
      <c r="U73" s="2"/>
      <c r="V73" s="2"/>
      <c r="W73" s="2"/>
      <c r="X73" s="2"/>
      <c r="Y73" s="2"/>
    </row>
    <row r="74">
      <c r="A74" s="5" t="str">
        <f>IFERROR(__xludf.DUMMYFUNCTION("LEFT(A73, 4) &amp; TEXT(VALUE(REGEXEXTRACT(A73, ""\d+"")) + 1, ""0000"")"),"SOM-0072")</f>
        <v>SOM-0072</v>
      </c>
      <c r="B74" s="3" t="s">
        <v>880</v>
      </c>
      <c r="C74" s="3" t="s">
        <v>950</v>
      </c>
      <c r="D74" s="2" t="str">
        <f t="shared" si="1"/>
        <v>OUVIDOS ATENTOS | M</v>
      </c>
      <c r="E74" s="3" t="s">
        <v>48</v>
      </c>
      <c r="F74" s="3" t="s">
        <v>28</v>
      </c>
      <c r="G74" s="3" t="s">
        <v>928</v>
      </c>
      <c r="H74" s="3" t="s">
        <v>33</v>
      </c>
      <c r="I74" s="3">
        <v>4.0</v>
      </c>
      <c r="J74" s="3" t="s">
        <v>50</v>
      </c>
      <c r="K74" s="3" t="s">
        <v>34</v>
      </c>
      <c r="L74" s="6" t="s">
        <v>70</v>
      </c>
      <c r="M74" s="3" t="s">
        <v>35</v>
      </c>
      <c r="N74" s="3" t="s">
        <v>933</v>
      </c>
      <c r="O74" s="3" t="s">
        <v>131</v>
      </c>
      <c r="P74" s="3" t="s">
        <v>953</v>
      </c>
      <c r="Q74" s="2"/>
      <c r="R74" s="2"/>
      <c r="S74" s="2"/>
      <c r="T74" s="2"/>
      <c r="U74" s="2"/>
      <c r="V74" s="2"/>
      <c r="W74" s="2"/>
      <c r="X74" s="2"/>
      <c r="Y74" s="2"/>
    </row>
    <row r="75">
      <c r="A75" s="5" t="str">
        <f>IFERROR(__xludf.DUMMYFUNCTION("LEFT(A74, 4) &amp; TEXT(VALUE(REGEXEXTRACT(A74, ""\d+"")) + 1, ""0000"")"),"SOM-0073")</f>
        <v>SOM-0073</v>
      </c>
      <c r="B75" s="3" t="s">
        <v>880</v>
      </c>
      <c r="C75" s="3" t="s">
        <v>950</v>
      </c>
      <c r="D75" s="2" t="str">
        <f t="shared" si="1"/>
        <v>OUVIDOS ATENTOS | M</v>
      </c>
      <c r="E75" s="3" t="s">
        <v>48</v>
      </c>
      <c r="F75" s="3" t="s">
        <v>29</v>
      </c>
      <c r="G75" s="3" t="s">
        <v>928</v>
      </c>
      <c r="H75" s="3" t="s">
        <v>33</v>
      </c>
      <c r="I75" s="3">
        <v>4.0</v>
      </c>
      <c r="J75" s="3" t="s">
        <v>50</v>
      </c>
      <c r="K75" s="3" t="s">
        <v>34</v>
      </c>
      <c r="L75" s="6" t="s">
        <v>72</v>
      </c>
      <c r="M75" s="3" t="s">
        <v>35</v>
      </c>
      <c r="N75" s="3" t="s">
        <v>935</v>
      </c>
      <c r="O75" s="3" t="s">
        <v>131</v>
      </c>
      <c r="P75" s="3" t="s">
        <v>954</v>
      </c>
      <c r="Q75" s="2"/>
      <c r="R75" s="2"/>
      <c r="S75" s="2"/>
      <c r="T75" s="2"/>
      <c r="U75" s="2"/>
      <c r="V75" s="2"/>
      <c r="W75" s="2"/>
      <c r="X75" s="2"/>
      <c r="Y75" s="2"/>
    </row>
    <row r="76">
      <c r="A76" s="5" t="str">
        <f>IFERROR(__xludf.DUMMYFUNCTION("LEFT(A75, 4) &amp; TEXT(VALUE(REGEXEXTRACT(A75, ""\d+"")) + 1, ""0000"")"),"SOM-0074")</f>
        <v>SOM-0074</v>
      </c>
      <c r="B76" s="3" t="s">
        <v>880</v>
      </c>
      <c r="C76" s="3" t="s">
        <v>950</v>
      </c>
      <c r="D76" s="2" t="str">
        <f t="shared" si="1"/>
        <v>OUVIDOS ATENTOS | M</v>
      </c>
      <c r="E76" s="3" t="s">
        <v>48</v>
      </c>
      <c r="F76" s="3" t="s">
        <v>30</v>
      </c>
      <c r="G76" s="3" t="s">
        <v>928</v>
      </c>
      <c r="H76" s="3" t="s">
        <v>33</v>
      </c>
      <c r="I76" s="3">
        <v>4.0</v>
      </c>
      <c r="J76" s="3" t="s">
        <v>23</v>
      </c>
      <c r="K76" s="3" t="s">
        <v>34</v>
      </c>
      <c r="L76" s="6" t="s">
        <v>39</v>
      </c>
      <c r="M76" s="3" t="s">
        <v>253</v>
      </c>
      <c r="N76" s="3" t="s">
        <v>937</v>
      </c>
      <c r="O76" s="3" t="s">
        <v>136</v>
      </c>
      <c r="P76" s="3" t="s">
        <v>955</v>
      </c>
      <c r="Q76" s="2"/>
      <c r="R76" s="2"/>
      <c r="S76" s="2"/>
      <c r="T76" s="2"/>
      <c r="U76" s="2"/>
      <c r="V76" s="2"/>
      <c r="W76" s="2"/>
      <c r="X76" s="2"/>
      <c r="Y76" s="2"/>
    </row>
    <row r="77">
      <c r="A77" s="5" t="str">
        <f>IFERROR(__xludf.DUMMYFUNCTION("LEFT(A76, 4) &amp; TEXT(VALUE(REGEXEXTRACT(A76, ""\d+"")) + 1, ""0000"")"),"SOM-0075")</f>
        <v>SOM-0075</v>
      </c>
      <c r="B77" s="3" t="s">
        <v>880</v>
      </c>
      <c r="C77" s="3" t="s">
        <v>956</v>
      </c>
      <c r="D77" s="2" t="str">
        <f t="shared" si="1"/>
        <v>OUVIDOS DESATENTOS | M</v>
      </c>
      <c r="E77" s="3" t="s">
        <v>48</v>
      </c>
      <c r="F77" s="3" t="s">
        <v>21</v>
      </c>
      <c r="G77" s="3" t="s">
        <v>928</v>
      </c>
      <c r="H77" s="3" t="s">
        <v>33</v>
      </c>
      <c r="I77" s="3">
        <v>4.0</v>
      </c>
      <c r="J77" s="3" t="s">
        <v>126</v>
      </c>
      <c r="K77" s="3" t="s">
        <v>34</v>
      </c>
      <c r="L77" s="6" t="s">
        <v>65</v>
      </c>
      <c r="M77" s="3" t="s">
        <v>65</v>
      </c>
      <c r="N77" s="3" t="s">
        <v>940</v>
      </c>
      <c r="O77" s="3" t="s">
        <v>126</v>
      </c>
      <c r="P77" s="4" t="s">
        <v>957</v>
      </c>
      <c r="Q77" s="2"/>
      <c r="R77" s="2"/>
      <c r="S77" s="2"/>
      <c r="T77" s="2"/>
      <c r="U77" s="2"/>
      <c r="V77" s="2"/>
      <c r="W77" s="2"/>
      <c r="X77" s="2"/>
      <c r="Y77" s="2"/>
    </row>
    <row r="78">
      <c r="A78" s="5" t="str">
        <f>IFERROR(__xludf.DUMMYFUNCTION("LEFT(A77, 4) &amp; TEXT(VALUE(REGEXEXTRACT(A77, ""\d+"")) + 1, ""0000"")"),"SOM-0076")</f>
        <v>SOM-0076</v>
      </c>
      <c r="B78" s="3" t="s">
        <v>880</v>
      </c>
      <c r="C78" s="3" t="s">
        <v>956</v>
      </c>
      <c r="D78" s="2" t="str">
        <f t="shared" si="1"/>
        <v>OUVIDOS DESATENTOS | M</v>
      </c>
      <c r="E78" s="3" t="s">
        <v>48</v>
      </c>
      <c r="F78" s="3" t="s">
        <v>27</v>
      </c>
      <c r="G78" s="3" t="s">
        <v>928</v>
      </c>
      <c r="H78" s="3" t="s">
        <v>33</v>
      </c>
      <c r="I78" s="3">
        <v>4.0</v>
      </c>
      <c r="J78" s="3" t="s">
        <v>126</v>
      </c>
      <c r="K78" s="3" t="s">
        <v>34</v>
      </c>
      <c r="L78" s="6" t="s">
        <v>35</v>
      </c>
      <c r="M78" s="3" t="s">
        <v>65</v>
      </c>
      <c r="N78" s="3" t="s">
        <v>942</v>
      </c>
      <c r="O78" s="3" t="s">
        <v>126</v>
      </c>
      <c r="P78" s="4" t="s">
        <v>958</v>
      </c>
      <c r="Q78" s="2"/>
      <c r="R78" s="2"/>
      <c r="S78" s="2"/>
      <c r="T78" s="2"/>
      <c r="U78" s="2"/>
      <c r="V78" s="2"/>
      <c r="W78" s="2"/>
      <c r="X78" s="2"/>
      <c r="Y78" s="2"/>
    </row>
    <row r="79">
      <c r="A79" s="5" t="str">
        <f>IFERROR(__xludf.DUMMYFUNCTION("LEFT(A78, 4) &amp; TEXT(VALUE(REGEXEXTRACT(A78, ""\d+"")) + 1, ""0000"")"),"SOM-0077")</f>
        <v>SOM-0077</v>
      </c>
      <c r="B79" s="3" t="s">
        <v>880</v>
      </c>
      <c r="C79" s="3" t="s">
        <v>956</v>
      </c>
      <c r="D79" s="2" t="str">
        <f t="shared" si="1"/>
        <v>OUVIDOS DESATENTOS | M</v>
      </c>
      <c r="E79" s="3" t="s">
        <v>48</v>
      </c>
      <c r="F79" s="3" t="s">
        <v>28</v>
      </c>
      <c r="G79" s="3" t="s">
        <v>928</v>
      </c>
      <c r="H79" s="3" t="s">
        <v>33</v>
      </c>
      <c r="I79" s="3">
        <v>4.0</v>
      </c>
      <c r="J79" s="3" t="s">
        <v>50</v>
      </c>
      <c r="K79" s="3" t="s">
        <v>34</v>
      </c>
      <c r="L79" s="6" t="s">
        <v>70</v>
      </c>
      <c r="M79" s="3" t="s">
        <v>35</v>
      </c>
      <c r="N79" s="3" t="s">
        <v>944</v>
      </c>
      <c r="O79" s="3" t="s">
        <v>131</v>
      </c>
      <c r="P79" s="4" t="s">
        <v>959</v>
      </c>
      <c r="Q79" s="2"/>
      <c r="R79" s="2"/>
      <c r="S79" s="2"/>
      <c r="T79" s="2"/>
      <c r="U79" s="2"/>
      <c r="V79" s="2"/>
      <c r="W79" s="2"/>
      <c r="X79" s="2"/>
      <c r="Y79" s="2"/>
    </row>
    <row r="80">
      <c r="A80" s="5" t="str">
        <f>IFERROR(__xludf.DUMMYFUNCTION("LEFT(A79, 4) &amp; TEXT(VALUE(REGEXEXTRACT(A79, ""\d+"")) + 1, ""0000"")"),"SOM-0078")</f>
        <v>SOM-0078</v>
      </c>
      <c r="B80" s="3" t="s">
        <v>880</v>
      </c>
      <c r="C80" s="3" t="s">
        <v>956</v>
      </c>
      <c r="D80" s="2" t="str">
        <f t="shared" si="1"/>
        <v>OUVIDOS DESATENTOS | M</v>
      </c>
      <c r="E80" s="3" t="s">
        <v>48</v>
      </c>
      <c r="F80" s="3" t="s">
        <v>29</v>
      </c>
      <c r="G80" s="3" t="s">
        <v>928</v>
      </c>
      <c r="H80" s="3" t="s">
        <v>33</v>
      </c>
      <c r="I80" s="3">
        <v>4.0</v>
      </c>
      <c r="J80" s="3" t="s">
        <v>50</v>
      </c>
      <c r="K80" s="3" t="s">
        <v>34</v>
      </c>
      <c r="L80" s="6" t="s">
        <v>72</v>
      </c>
      <c r="M80" s="3" t="s">
        <v>35</v>
      </c>
      <c r="N80" s="3" t="s">
        <v>946</v>
      </c>
      <c r="O80" s="3" t="s">
        <v>131</v>
      </c>
      <c r="P80" s="4" t="s">
        <v>960</v>
      </c>
      <c r="Q80" s="2"/>
      <c r="R80" s="2"/>
      <c r="S80" s="2"/>
      <c r="T80" s="2"/>
      <c r="U80" s="2"/>
      <c r="V80" s="2"/>
      <c r="W80" s="2"/>
      <c r="X80" s="2"/>
      <c r="Y80" s="2"/>
    </row>
    <row r="81">
      <c r="A81" s="5" t="str">
        <f>IFERROR(__xludf.DUMMYFUNCTION("LEFT(A80, 4) &amp; TEXT(VALUE(REGEXEXTRACT(A80, ""\d+"")) + 1, ""0000"")"),"SOM-0079")</f>
        <v>SOM-0079</v>
      </c>
      <c r="B81" s="3" t="s">
        <v>880</v>
      </c>
      <c r="C81" s="3" t="s">
        <v>956</v>
      </c>
      <c r="D81" s="2" t="str">
        <f t="shared" si="1"/>
        <v>OUVIDOS DESATENTOS | M</v>
      </c>
      <c r="E81" s="3" t="s">
        <v>48</v>
      </c>
      <c r="F81" s="3" t="s">
        <v>30</v>
      </c>
      <c r="G81" s="3" t="s">
        <v>928</v>
      </c>
      <c r="H81" s="3" t="s">
        <v>33</v>
      </c>
      <c r="I81" s="3">
        <v>4.0</v>
      </c>
      <c r="J81" s="3" t="s">
        <v>23</v>
      </c>
      <c r="K81" s="3" t="s">
        <v>34</v>
      </c>
      <c r="L81" s="6" t="s">
        <v>39</v>
      </c>
      <c r="M81" s="3" t="s">
        <v>253</v>
      </c>
      <c r="N81" s="3" t="s">
        <v>948</v>
      </c>
      <c r="O81" s="3" t="s">
        <v>136</v>
      </c>
      <c r="P81" s="4" t="s">
        <v>961</v>
      </c>
      <c r="Q81" s="2"/>
      <c r="R81" s="2"/>
      <c r="S81" s="2"/>
      <c r="T81" s="2"/>
      <c r="U81" s="2"/>
      <c r="V81" s="2"/>
      <c r="W81" s="2"/>
      <c r="X81" s="2"/>
      <c r="Y81" s="2"/>
    </row>
    <row r="82">
      <c r="A82" s="5" t="str">
        <f>IFERROR(__xludf.DUMMYFUNCTION("LEFT(A81, 4) &amp; TEXT(VALUE(REGEXEXTRACT(A81, ""\d+"")) + 1, ""0000"")"),"SOM-0080")</f>
        <v>SOM-0080</v>
      </c>
      <c r="B82" s="3" t="s">
        <v>880</v>
      </c>
      <c r="C82" s="3" t="s">
        <v>962</v>
      </c>
      <c r="D82" s="2" t="str">
        <f t="shared" si="1"/>
        <v>NARIZ ATENTO | M</v>
      </c>
      <c r="E82" s="3" t="s">
        <v>48</v>
      </c>
      <c r="F82" s="3" t="s">
        <v>21</v>
      </c>
      <c r="G82" s="3" t="s">
        <v>928</v>
      </c>
      <c r="H82" s="3" t="s">
        <v>33</v>
      </c>
      <c r="I82" s="3">
        <v>4.0</v>
      </c>
      <c r="J82" s="3" t="s">
        <v>126</v>
      </c>
      <c r="K82" s="3" t="s">
        <v>34</v>
      </c>
      <c r="L82" s="6" t="s">
        <v>65</v>
      </c>
      <c r="M82" s="3" t="s">
        <v>65</v>
      </c>
      <c r="N82" s="3" t="s">
        <v>929</v>
      </c>
      <c r="O82" s="3" t="s">
        <v>126</v>
      </c>
      <c r="P82" s="3" t="s">
        <v>963</v>
      </c>
      <c r="Q82" s="2"/>
      <c r="R82" s="2"/>
      <c r="S82" s="2"/>
      <c r="T82" s="2"/>
      <c r="U82" s="2"/>
      <c r="V82" s="2"/>
      <c r="W82" s="2"/>
      <c r="X82" s="2"/>
      <c r="Y82" s="2"/>
    </row>
    <row r="83">
      <c r="A83" s="5" t="str">
        <f>IFERROR(__xludf.DUMMYFUNCTION("LEFT(A82, 4) &amp; TEXT(VALUE(REGEXEXTRACT(A82, ""\d+"")) + 1, ""0000"")"),"SOM-0081")</f>
        <v>SOM-0081</v>
      </c>
      <c r="B83" s="3" t="s">
        <v>880</v>
      </c>
      <c r="C83" s="3" t="s">
        <v>962</v>
      </c>
      <c r="D83" s="2" t="str">
        <f t="shared" si="1"/>
        <v>NARIZ ATENTO | M</v>
      </c>
      <c r="E83" s="3" t="s">
        <v>48</v>
      </c>
      <c r="F83" s="3" t="s">
        <v>27</v>
      </c>
      <c r="G83" s="3" t="s">
        <v>928</v>
      </c>
      <c r="H83" s="3" t="s">
        <v>33</v>
      </c>
      <c r="I83" s="3">
        <v>4.0</v>
      </c>
      <c r="J83" s="3" t="s">
        <v>126</v>
      </c>
      <c r="K83" s="3" t="s">
        <v>34</v>
      </c>
      <c r="L83" s="6" t="s">
        <v>35</v>
      </c>
      <c r="M83" s="3" t="s">
        <v>65</v>
      </c>
      <c r="N83" s="3" t="s">
        <v>931</v>
      </c>
      <c r="O83" s="3" t="s">
        <v>126</v>
      </c>
      <c r="P83" s="3" t="s">
        <v>964</v>
      </c>
      <c r="Q83" s="2"/>
      <c r="R83" s="2"/>
      <c r="S83" s="2"/>
      <c r="T83" s="2"/>
      <c r="U83" s="2"/>
      <c r="V83" s="2"/>
      <c r="W83" s="2"/>
      <c r="X83" s="2"/>
      <c r="Y83" s="2"/>
    </row>
    <row r="84">
      <c r="A84" s="5" t="str">
        <f>IFERROR(__xludf.DUMMYFUNCTION("LEFT(A83, 4) &amp; TEXT(VALUE(REGEXEXTRACT(A83, ""\d+"")) + 1, ""0000"")"),"SOM-0082")</f>
        <v>SOM-0082</v>
      </c>
      <c r="B84" s="3" t="s">
        <v>880</v>
      </c>
      <c r="C84" s="3" t="s">
        <v>962</v>
      </c>
      <c r="D84" s="2" t="str">
        <f t="shared" si="1"/>
        <v>NARIZ ATENTO | M</v>
      </c>
      <c r="E84" s="3" t="s">
        <v>48</v>
      </c>
      <c r="F84" s="3" t="s">
        <v>28</v>
      </c>
      <c r="G84" s="3" t="s">
        <v>928</v>
      </c>
      <c r="H84" s="3" t="s">
        <v>33</v>
      </c>
      <c r="I84" s="3">
        <v>4.0</v>
      </c>
      <c r="J84" s="3" t="s">
        <v>50</v>
      </c>
      <c r="K84" s="3" t="s">
        <v>34</v>
      </c>
      <c r="L84" s="6" t="s">
        <v>70</v>
      </c>
      <c r="M84" s="3" t="s">
        <v>35</v>
      </c>
      <c r="N84" s="3" t="s">
        <v>933</v>
      </c>
      <c r="O84" s="3" t="s">
        <v>131</v>
      </c>
      <c r="P84" s="3" t="s">
        <v>965</v>
      </c>
      <c r="Q84" s="2"/>
      <c r="R84" s="2"/>
      <c r="S84" s="2"/>
      <c r="T84" s="2"/>
      <c r="U84" s="2"/>
      <c r="V84" s="2"/>
      <c r="W84" s="2"/>
      <c r="X84" s="2"/>
      <c r="Y84" s="2"/>
    </row>
    <row r="85">
      <c r="A85" s="5" t="str">
        <f>IFERROR(__xludf.DUMMYFUNCTION("LEFT(A84, 4) &amp; TEXT(VALUE(REGEXEXTRACT(A84, ""\d+"")) + 1, ""0000"")"),"SOM-0083")</f>
        <v>SOM-0083</v>
      </c>
      <c r="B85" s="3" t="s">
        <v>880</v>
      </c>
      <c r="C85" s="3" t="s">
        <v>962</v>
      </c>
      <c r="D85" s="2" t="str">
        <f t="shared" si="1"/>
        <v>NARIZ ATENTO | M</v>
      </c>
      <c r="E85" s="3" t="s">
        <v>48</v>
      </c>
      <c r="F85" s="3" t="s">
        <v>29</v>
      </c>
      <c r="G85" s="3" t="s">
        <v>928</v>
      </c>
      <c r="H85" s="3" t="s">
        <v>33</v>
      </c>
      <c r="I85" s="3">
        <v>4.0</v>
      </c>
      <c r="J85" s="3" t="s">
        <v>50</v>
      </c>
      <c r="K85" s="3" t="s">
        <v>34</v>
      </c>
      <c r="L85" s="6" t="s">
        <v>72</v>
      </c>
      <c r="M85" s="3" t="s">
        <v>35</v>
      </c>
      <c r="N85" s="3" t="s">
        <v>935</v>
      </c>
      <c r="O85" s="3" t="s">
        <v>131</v>
      </c>
      <c r="P85" s="3" t="s">
        <v>966</v>
      </c>
      <c r="Q85" s="2"/>
      <c r="R85" s="2"/>
      <c r="S85" s="2"/>
      <c r="T85" s="2"/>
      <c r="U85" s="2"/>
      <c r="V85" s="2"/>
      <c r="W85" s="2"/>
      <c r="X85" s="2"/>
      <c r="Y85" s="2"/>
    </row>
    <row r="86">
      <c r="A86" s="5" t="str">
        <f>IFERROR(__xludf.DUMMYFUNCTION("LEFT(A85, 4) &amp; TEXT(VALUE(REGEXEXTRACT(A85, ""\d+"")) + 1, ""0000"")"),"SOM-0084")</f>
        <v>SOM-0084</v>
      </c>
      <c r="B86" s="3" t="s">
        <v>880</v>
      </c>
      <c r="C86" s="3" t="s">
        <v>962</v>
      </c>
      <c r="D86" s="2" t="str">
        <f t="shared" si="1"/>
        <v>NARIZ ATENTO | M</v>
      </c>
      <c r="E86" s="3" t="s">
        <v>48</v>
      </c>
      <c r="F86" s="3" t="s">
        <v>30</v>
      </c>
      <c r="G86" s="3" t="s">
        <v>928</v>
      </c>
      <c r="H86" s="3" t="s">
        <v>33</v>
      </c>
      <c r="I86" s="3">
        <v>4.0</v>
      </c>
      <c r="J86" s="3" t="s">
        <v>23</v>
      </c>
      <c r="K86" s="3" t="s">
        <v>34</v>
      </c>
      <c r="L86" s="6" t="s">
        <v>39</v>
      </c>
      <c r="M86" s="3" t="s">
        <v>253</v>
      </c>
      <c r="N86" s="3" t="s">
        <v>937</v>
      </c>
      <c r="O86" s="3" t="s">
        <v>136</v>
      </c>
      <c r="P86" s="3" t="s">
        <v>967</v>
      </c>
      <c r="Q86" s="2"/>
      <c r="R86" s="2"/>
      <c r="S86" s="2"/>
      <c r="T86" s="2"/>
      <c r="U86" s="2"/>
      <c r="V86" s="2"/>
      <c r="W86" s="2"/>
      <c r="X86" s="2"/>
      <c r="Y86" s="2"/>
    </row>
    <row r="87">
      <c r="A87" s="5" t="str">
        <f>IFERROR(__xludf.DUMMYFUNCTION("LEFT(A86, 4) &amp; TEXT(VALUE(REGEXEXTRACT(A86, ""\d+"")) + 1, ""0000"")"),"SOM-0085")</f>
        <v>SOM-0085</v>
      </c>
      <c r="B87" s="3" t="s">
        <v>880</v>
      </c>
      <c r="C87" s="3" t="s">
        <v>968</v>
      </c>
      <c r="D87" s="2" t="str">
        <f t="shared" si="1"/>
        <v>NARIZ DESATENTO | M</v>
      </c>
      <c r="E87" s="3" t="s">
        <v>48</v>
      </c>
      <c r="F87" s="3" t="s">
        <v>21</v>
      </c>
      <c r="G87" s="3" t="s">
        <v>928</v>
      </c>
      <c r="H87" s="3" t="s">
        <v>33</v>
      </c>
      <c r="I87" s="3">
        <v>4.0</v>
      </c>
      <c r="J87" s="3" t="s">
        <v>126</v>
      </c>
      <c r="K87" s="3" t="s">
        <v>34</v>
      </c>
      <c r="L87" s="6" t="s">
        <v>65</v>
      </c>
      <c r="M87" s="3" t="s">
        <v>65</v>
      </c>
      <c r="N87" s="3" t="s">
        <v>940</v>
      </c>
      <c r="O87" s="3" t="s">
        <v>126</v>
      </c>
      <c r="P87" s="4" t="s">
        <v>969</v>
      </c>
      <c r="Q87" s="2"/>
      <c r="R87" s="2"/>
      <c r="S87" s="2"/>
      <c r="T87" s="2"/>
      <c r="U87" s="2"/>
      <c r="V87" s="2"/>
      <c r="W87" s="2"/>
      <c r="X87" s="2"/>
      <c r="Y87" s="2"/>
    </row>
    <row r="88">
      <c r="A88" s="5" t="str">
        <f>IFERROR(__xludf.DUMMYFUNCTION("LEFT(A87, 4) &amp; TEXT(VALUE(REGEXEXTRACT(A87, ""\d+"")) + 1, ""0000"")"),"SOM-0086")</f>
        <v>SOM-0086</v>
      </c>
      <c r="B88" s="3" t="s">
        <v>880</v>
      </c>
      <c r="C88" s="3" t="s">
        <v>968</v>
      </c>
      <c r="D88" s="2" t="str">
        <f t="shared" si="1"/>
        <v>NARIZ DESATENTO | M</v>
      </c>
      <c r="E88" s="3" t="s">
        <v>48</v>
      </c>
      <c r="F88" s="3" t="s">
        <v>27</v>
      </c>
      <c r="G88" s="3" t="s">
        <v>928</v>
      </c>
      <c r="H88" s="3" t="s">
        <v>33</v>
      </c>
      <c r="I88" s="3">
        <v>4.0</v>
      </c>
      <c r="J88" s="3" t="s">
        <v>126</v>
      </c>
      <c r="K88" s="3" t="s">
        <v>34</v>
      </c>
      <c r="L88" s="6" t="s">
        <v>35</v>
      </c>
      <c r="M88" s="3" t="s">
        <v>65</v>
      </c>
      <c r="N88" s="3" t="s">
        <v>942</v>
      </c>
      <c r="O88" s="3" t="s">
        <v>126</v>
      </c>
      <c r="P88" s="4" t="s">
        <v>970</v>
      </c>
      <c r="Q88" s="2"/>
      <c r="R88" s="2"/>
      <c r="S88" s="2"/>
      <c r="T88" s="2"/>
      <c r="U88" s="2"/>
      <c r="V88" s="2"/>
      <c r="W88" s="2"/>
      <c r="X88" s="2"/>
      <c r="Y88" s="2"/>
    </row>
    <row r="89">
      <c r="A89" s="5" t="str">
        <f>IFERROR(__xludf.DUMMYFUNCTION("LEFT(A88, 4) &amp; TEXT(VALUE(REGEXEXTRACT(A88, ""\d+"")) + 1, ""0000"")"),"SOM-0087")</f>
        <v>SOM-0087</v>
      </c>
      <c r="B89" s="3" t="s">
        <v>880</v>
      </c>
      <c r="C89" s="3" t="s">
        <v>968</v>
      </c>
      <c r="D89" s="2" t="str">
        <f t="shared" si="1"/>
        <v>NARIZ DESATENTO | M</v>
      </c>
      <c r="E89" s="3" t="s">
        <v>48</v>
      </c>
      <c r="F89" s="3" t="s">
        <v>28</v>
      </c>
      <c r="G89" s="3" t="s">
        <v>928</v>
      </c>
      <c r="H89" s="3" t="s">
        <v>33</v>
      </c>
      <c r="I89" s="3">
        <v>4.0</v>
      </c>
      <c r="J89" s="3" t="s">
        <v>50</v>
      </c>
      <c r="K89" s="3" t="s">
        <v>34</v>
      </c>
      <c r="L89" s="6" t="s">
        <v>70</v>
      </c>
      <c r="M89" s="3" t="s">
        <v>35</v>
      </c>
      <c r="N89" s="3" t="s">
        <v>944</v>
      </c>
      <c r="O89" s="3" t="s">
        <v>131</v>
      </c>
      <c r="P89" s="4" t="s">
        <v>971</v>
      </c>
      <c r="Q89" s="2"/>
      <c r="R89" s="2"/>
      <c r="S89" s="2"/>
      <c r="T89" s="2"/>
      <c r="U89" s="2"/>
      <c r="V89" s="2"/>
      <c r="W89" s="2"/>
      <c r="X89" s="2"/>
      <c r="Y89" s="2"/>
    </row>
    <row r="90">
      <c r="A90" s="5" t="str">
        <f>IFERROR(__xludf.DUMMYFUNCTION("LEFT(A89, 4) &amp; TEXT(VALUE(REGEXEXTRACT(A89, ""\d+"")) + 1, ""0000"")"),"SOM-0088")</f>
        <v>SOM-0088</v>
      </c>
      <c r="B90" s="3" t="s">
        <v>880</v>
      </c>
      <c r="C90" s="3" t="s">
        <v>968</v>
      </c>
      <c r="D90" s="2" t="str">
        <f t="shared" si="1"/>
        <v>NARIZ DESATENTO | M</v>
      </c>
      <c r="E90" s="3" t="s">
        <v>48</v>
      </c>
      <c r="F90" s="3" t="s">
        <v>29</v>
      </c>
      <c r="G90" s="3" t="s">
        <v>928</v>
      </c>
      <c r="H90" s="3" t="s">
        <v>33</v>
      </c>
      <c r="I90" s="3">
        <v>4.0</v>
      </c>
      <c r="J90" s="3" t="s">
        <v>50</v>
      </c>
      <c r="K90" s="3" t="s">
        <v>34</v>
      </c>
      <c r="L90" s="6" t="s">
        <v>72</v>
      </c>
      <c r="M90" s="3" t="s">
        <v>35</v>
      </c>
      <c r="N90" s="3" t="s">
        <v>946</v>
      </c>
      <c r="O90" s="3" t="s">
        <v>131</v>
      </c>
      <c r="P90" s="4" t="s">
        <v>972</v>
      </c>
      <c r="Q90" s="2"/>
      <c r="R90" s="2"/>
      <c r="S90" s="2"/>
      <c r="T90" s="2"/>
      <c r="U90" s="2"/>
      <c r="V90" s="2"/>
      <c r="W90" s="2"/>
      <c r="X90" s="2"/>
      <c r="Y90" s="2"/>
    </row>
    <row r="91">
      <c r="A91" s="5" t="str">
        <f>IFERROR(__xludf.DUMMYFUNCTION("LEFT(A90, 4) &amp; TEXT(VALUE(REGEXEXTRACT(A90, ""\d+"")) + 1, ""0000"")"),"SOM-0089")</f>
        <v>SOM-0089</v>
      </c>
      <c r="B91" s="3" t="s">
        <v>880</v>
      </c>
      <c r="C91" s="3" t="s">
        <v>968</v>
      </c>
      <c r="D91" s="2" t="str">
        <f t="shared" si="1"/>
        <v>NARIZ DESATENTO | M</v>
      </c>
      <c r="E91" s="3" t="s">
        <v>48</v>
      </c>
      <c r="F91" s="3" t="s">
        <v>30</v>
      </c>
      <c r="G91" s="3" t="s">
        <v>928</v>
      </c>
      <c r="H91" s="3" t="s">
        <v>33</v>
      </c>
      <c r="I91" s="3">
        <v>4.0</v>
      </c>
      <c r="J91" s="3" t="s">
        <v>23</v>
      </c>
      <c r="K91" s="3" t="s">
        <v>34</v>
      </c>
      <c r="L91" s="6" t="s">
        <v>39</v>
      </c>
      <c r="M91" s="3" t="s">
        <v>253</v>
      </c>
      <c r="N91" s="3" t="s">
        <v>948</v>
      </c>
      <c r="O91" s="3" t="s">
        <v>136</v>
      </c>
      <c r="P91" s="4" t="s">
        <v>973</v>
      </c>
      <c r="Q91" s="2"/>
      <c r="R91" s="2"/>
      <c r="S91" s="2"/>
      <c r="T91" s="2"/>
      <c r="U91" s="2"/>
      <c r="V91" s="2"/>
      <c r="W91" s="2"/>
      <c r="X91" s="2"/>
      <c r="Y91" s="2"/>
    </row>
    <row r="92">
      <c r="A92" s="5" t="str">
        <f>IFERROR(__xludf.DUMMYFUNCTION("LEFT(A91, 4) &amp; TEXT(VALUE(REGEXEXTRACT(A91, ""\d+"")) + 1, ""0000"")"),"SOM-0090")</f>
        <v>SOM-0090</v>
      </c>
      <c r="B92" s="3" t="s">
        <v>880</v>
      </c>
      <c r="C92" s="3" t="s">
        <v>974</v>
      </c>
      <c r="D92" s="2" t="str">
        <f t="shared" si="1"/>
        <v>PROJÉTIL AMALDIÇOADO | F</v>
      </c>
      <c r="E92" s="3" t="s">
        <v>20</v>
      </c>
      <c r="F92" s="3" t="s">
        <v>21</v>
      </c>
      <c r="G92" s="3" t="s">
        <v>146</v>
      </c>
      <c r="H92" s="3" t="s">
        <v>33</v>
      </c>
      <c r="I92" s="3">
        <v>2.0</v>
      </c>
      <c r="J92" s="3" t="s">
        <v>23</v>
      </c>
      <c r="K92" s="3" t="s">
        <v>95</v>
      </c>
      <c r="L92" s="3" t="s">
        <v>147</v>
      </c>
      <c r="M92" s="3" t="s">
        <v>66</v>
      </c>
      <c r="N92" s="3" t="s">
        <v>148</v>
      </c>
      <c r="O92" s="3" t="s">
        <v>23</v>
      </c>
      <c r="P92" s="3" t="s">
        <v>975</v>
      </c>
      <c r="Q92" s="3" t="s">
        <v>976</v>
      </c>
      <c r="R92" s="2"/>
      <c r="S92" s="2"/>
      <c r="T92" s="2"/>
      <c r="U92" s="2"/>
      <c r="V92" s="2"/>
      <c r="W92" s="2"/>
      <c r="X92" s="2"/>
      <c r="Y92" s="2"/>
    </row>
    <row r="93">
      <c r="A93" s="5" t="str">
        <f>IFERROR(__xludf.DUMMYFUNCTION("LEFT(A92, 4) &amp; TEXT(VALUE(REGEXEXTRACT(A92, ""\d+"")) + 1, ""0000"")"),"SOM-0091")</f>
        <v>SOM-0091</v>
      </c>
      <c r="B93" s="3" t="s">
        <v>880</v>
      </c>
      <c r="C93" s="3" t="s">
        <v>974</v>
      </c>
      <c r="D93" s="2" t="str">
        <f t="shared" si="1"/>
        <v>PROJÉTIL AMALDIÇOADO | F</v>
      </c>
      <c r="E93" s="3" t="s">
        <v>20</v>
      </c>
      <c r="F93" s="3" t="s">
        <v>27</v>
      </c>
      <c r="G93" s="3" t="s">
        <v>146</v>
      </c>
      <c r="H93" s="3" t="s">
        <v>33</v>
      </c>
      <c r="I93" s="3">
        <v>2.0</v>
      </c>
      <c r="J93" s="3" t="s">
        <v>23</v>
      </c>
      <c r="K93" s="3" t="s">
        <v>95</v>
      </c>
      <c r="L93" s="3" t="s">
        <v>151</v>
      </c>
      <c r="M93" s="3" t="s">
        <v>66</v>
      </c>
      <c r="N93" s="3" t="s">
        <v>148</v>
      </c>
      <c r="O93" s="3" t="s">
        <v>23</v>
      </c>
      <c r="P93" s="3" t="s">
        <v>975</v>
      </c>
      <c r="Q93" s="3" t="s">
        <v>976</v>
      </c>
      <c r="R93" s="2"/>
      <c r="S93" s="2"/>
      <c r="T93" s="2"/>
      <c r="U93" s="2"/>
      <c r="V93" s="2"/>
      <c r="W93" s="2"/>
      <c r="X93" s="2"/>
      <c r="Y93" s="2"/>
    </row>
    <row r="94">
      <c r="A94" s="5" t="str">
        <f>IFERROR(__xludf.DUMMYFUNCTION("LEFT(A93, 4) &amp; TEXT(VALUE(REGEXEXTRACT(A93, ""\d+"")) + 1, ""0000"")"),"SOM-0092")</f>
        <v>SOM-0092</v>
      </c>
      <c r="B94" s="3" t="s">
        <v>880</v>
      </c>
      <c r="C94" s="3" t="s">
        <v>974</v>
      </c>
      <c r="D94" s="2" t="str">
        <f t="shared" si="1"/>
        <v>PROJÉTIL AMALDIÇOADO | F</v>
      </c>
      <c r="E94" s="3" t="s">
        <v>20</v>
      </c>
      <c r="F94" s="3" t="s">
        <v>28</v>
      </c>
      <c r="G94" s="3" t="s">
        <v>146</v>
      </c>
      <c r="H94" s="3" t="s">
        <v>33</v>
      </c>
      <c r="I94" s="3">
        <v>2.0</v>
      </c>
      <c r="J94" s="3" t="s">
        <v>23</v>
      </c>
      <c r="K94" s="3" t="s">
        <v>95</v>
      </c>
      <c r="L94" s="3" t="s">
        <v>152</v>
      </c>
      <c r="M94" s="3" t="s">
        <v>66</v>
      </c>
      <c r="N94" s="3" t="s">
        <v>153</v>
      </c>
      <c r="O94" s="3" t="s">
        <v>23</v>
      </c>
      <c r="P94" s="3" t="s">
        <v>975</v>
      </c>
      <c r="Q94" s="3" t="s">
        <v>976</v>
      </c>
      <c r="R94" s="2"/>
      <c r="S94" s="2"/>
      <c r="T94" s="2"/>
      <c r="U94" s="2"/>
      <c r="V94" s="2"/>
      <c r="W94" s="2"/>
      <c r="X94" s="2"/>
      <c r="Y94" s="2"/>
    </row>
    <row r="95">
      <c r="A95" s="5" t="str">
        <f>IFERROR(__xludf.DUMMYFUNCTION("LEFT(A94, 4) &amp; TEXT(VALUE(REGEXEXTRACT(A94, ""\d+"")) + 1, ""0000"")"),"SOM-0093")</f>
        <v>SOM-0093</v>
      </c>
      <c r="B95" s="3" t="s">
        <v>880</v>
      </c>
      <c r="C95" s="3" t="s">
        <v>974</v>
      </c>
      <c r="D95" s="2" t="str">
        <f t="shared" si="1"/>
        <v>PROJÉTIL AMALDIÇOADO | F</v>
      </c>
      <c r="E95" s="3" t="s">
        <v>20</v>
      </c>
      <c r="F95" s="3" t="s">
        <v>29</v>
      </c>
      <c r="G95" s="3" t="s">
        <v>146</v>
      </c>
      <c r="H95" s="3" t="s">
        <v>33</v>
      </c>
      <c r="I95" s="3">
        <v>2.0</v>
      </c>
      <c r="J95" s="3" t="s">
        <v>23</v>
      </c>
      <c r="K95" s="3" t="s">
        <v>95</v>
      </c>
      <c r="L95" s="3" t="s">
        <v>155</v>
      </c>
      <c r="M95" s="3" t="s">
        <v>66</v>
      </c>
      <c r="N95" s="3" t="s">
        <v>153</v>
      </c>
      <c r="O95" s="3" t="s">
        <v>23</v>
      </c>
      <c r="P95" s="3" t="s">
        <v>975</v>
      </c>
      <c r="Q95" s="3" t="s">
        <v>976</v>
      </c>
      <c r="R95" s="2"/>
      <c r="S95" s="2"/>
      <c r="T95" s="2"/>
      <c r="U95" s="2"/>
      <c r="V95" s="2"/>
      <c r="W95" s="2"/>
      <c r="X95" s="2"/>
      <c r="Y95" s="2"/>
    </row>
    <row r="96">
      <c r="A96" s="5" t="str">
        <f>IFERROR(__xludf.DUMMYFUNCTION("LEFT(A95, 4) &amp; TEXT(VALUE(REGEXEXTRACT(A95, ""\d+"")) + 1, ""0000"")"),"SOM-0094")</f>
        <v>SOM-0094</v>
      </c>
      <c r="B96" s="3" t="s">
        <v>880</v>
      </c>
      <c r="C96" s="3" t="s">
        <v>974</v>
      </c>
      <c r="D96" s="2" t="str">
        <f t="shared" si="1"/>
        <v>PROJÉTIL AMALDIÇOADO | F</v>
      </c>
      <c r="E96" s="3" t="s">
        <v>20</v>
      </c>
      <c r="F96" s="3" t="s">
        <v>30</v>
      </c>
      <c r="G96" s="3" t="s">
        <v>146</v>
      </c>
      <c r="H96" s="3" t="s">
        <v>33</v>
      </c>
      <c r="I96" s="3">
        <v>2.0</v>
      </c>
      <c r="J96" s="3" t="s">
        <v>23</v>
      </c>
      <c r="K96" s="3" t="s">
        <v>95</v>
      </c>
      <c r="L96" s="3" t="s">
        <v>156</v>
      </c>
      <c r="M96" s="3" t="s">
        <v>66</v>
      </c>
      <c r="N96" s="3" t="s">
        <v>157</v>
      </c>
      <c r="O96" s="3" t="s">
        <v>23</v>
      </c>
      <c r="P96" s="3" t="s">
        <v>975</v>
      </c>
      <c r="Q96" s="3" t="s">
        <v>976</v>
      </c>
      <c r="R96" s="2"/>
      <c r="S96" s="2"/>
      <c r="T96" s="2"/>
      <c r="U96" s="2"/>
      <c r="V96" s="2"/>
      <c r="W96" s="2"/>
      <c r="X96" s="2"/>
      <c r="Y96" s="2"/>
    </row>
    <row r="97">
      <c r="A97" s="5" t="str">
        <f>IFERROR(__xludf.DUMMYFUNCTION("LEFT(A96, 4) &amp; TEXT(VALUE(REGEXEXTRACT(A96, ""\d+"")) + 1, ""0000"")"),"SOM-0095")</f>
        <v>SOM-0095</v>
      </c>
      <c r="B97" s="3" t="s">
        <v>880</v>
      </c>
      <c r="C97" s="3" t="s">
        <v>977</v>
      </c>
      <c r="D97" s="2" t="str">
        <f t="shared" si="1"/>
        <v>PARALIZIA PARCIAL | D</v>
      </c>
      <c r="E97" s="3" t="s">
        <v>76</v>
      </c>
      <c r="F97" s="3" t="s">
        <v>21</v>
      </c>
      <c r="G97" s="3" t="s">
        <v>317</v>
      </c>
      <c r="H97" s="3" t="s">
        <v>884</v>
      </c>
      <c r="I97" s="3">
        <v>8.0</v>
      </c>
      <c r="J97" s="3" t="s">
        <v>50</v>
      </c>
      <c r="K97" s="3" t="s">
        <v>95</v>
      </c>
      <c r="L97" s="3" t="s">
        <v>195</v>
      </c>
      <c r="M97" s="3" t="s">
        <v>821</v>
      </c>
      <c r="N97" s="3" t="s">
        <v>629</v>
      </c>
      <c r="O97" s="3" t="s">
        <v>55</v>
      </c>
      <c r="P97" s="3" t="s">
        <v>978</v>
      </c>
      <c r="Q97" s="3" t="s">
        <v>979</v>
      </c>
      <c r="R97" s="2"/>
      <c r="S97" s="2"/>
      <c r="T97" s="2"/>
      <c r="U97" s="2"/>
      <c r="V97" s="2"/>
      <c r="W97" s="2"/>
      <c r="X97" s="2"/>
      <c r="Y97" s="2"/>
    </row>
    <row r="98">
      <c r="A98" s="5" t="str">
        <f>IFERROR(__xludf.DUMMYFUNCTION("LEFT(A97, 4) &amp; TEXT(VALUE(REGEXEXTRACT(A97, ""\d+"")) + 1, ""0000"")"),"SOM-0096")</f>
        <v>SOM-0096</v>
      </c>
      <c r="B98" s="3" t="s">
        <v>880</v>
      </c>
      <c r="C98" s="3" t="s">
        <v>977</v>
      </c>
      <c r="D98" s="2" t="str">
        <f t="shared" si="1"/>
        <v>PARALIZIA PARCIAL | D</v>
      </c>
      <c r="E98" s="3" t="s">
        <v>76</v>
      </c>
      <c r="F98" s="3" t="s">
        <v>27</v>
      </c>
      <c r="G98" s="3" t="s">
        <v>317</v>
      </c>
      <c r="H98" s="3" t="s">
        <v>884</v>
      </c>
      <c r="I98" s="3">
        <v>8.0</v>
      </c>
      <c r="J98" s="3" t="s">
        <v>50</v>
      </c>
      <c r="K98" s="3" t="s">
        <v>95</v>
      </c>
      <c r="L98" s="3" t="s">
        <v>195</v>
      </c>
      <c r="M98" s="3" t="s">
        <v>821</v>
      </c>
      <c r="N98" s="3" t="s">
        <v>631</v>
      </c>
      <c r="O98" s="3" t="s">
        <v>57</v>
      </c>
      <c r="P98" s="3" t="s">
        <v>978</v>
      </c>
      <c r="Q98" s="3" t="s">
        <v>979</v>
      </c>
      <c r="R98" s="2"/>
      <c r="S98" s="2"/>
      <c r="T98" s="2"/>
      <c r="U98" s="2"/>
      <c r="V98" s="2"/>
      <c r="W98" s="2"/>
      <c r="X98" s="2"/>
      <c r="Y98" s="2"/>
    </row>
    <row r="99">
      <c r="A99" s="5" t="str">
        <f>IFERROR(__xludf.DUMMYFUNCTION("LEFT(A98, 4) &amp; TEXT(VALUE(REGEXEXTRACT(A98, ""\d+"")) + 1, ""0000"")"),"SOM-0097")</f>
        <v>SOM-0097</v>
      </c>
      <c r="B99" s="3" t="s">
        <v>880</v>
      </c>
      <c r="C99" s="3" t="s">
        <v>977</v>
      </c>
      <c r="D99" s="2" t="str">
        <f t="shared" si="1"/>
        <v>PARALIZIA PARCIAL | D</v>
      </c>
      <c r="E99" s="3" t="s">
        <v>76</v>
      </c>
      <c r="F99" s="3" t="s">
        <v>28</v>
      </c>
      <c r="G99" s="3" t="s">
        <v>317</v>
      </c>
      <c r="H99" s="3" t="s">
        <v>884</v>
      </c>
      <c r="I99" s="3">
        <v>8.0</v>
      </c>
      <c r="J99" s="3" t="s">
        <v>50</v>
      </c>
      <c r="K99" s="3" t="s">
        <v>95</v>
      </c>
      <c r="L99" s="3" t="s">
        <v>195</v>
      </c>
      <c r="M99" s="3" t="s">
        <v>821</v>
      </c>
      <c r="N99" s="3" t="s">
        <v>632</v>
      </c>
      <c r="O99" s="3" t="s">
        <v>633</v>
      </c>
      <c r="P99" s="3" t="s">
        <v>978</v>
      </c>
      <c r="Q99" s="3" t="s">
        <v>979</v>
      </c>
      <c r="R99" s="2"/>
      <c r="S99" s="2"/>
      <c r="T99" s="2"/>
      <c r="U99" s="2"/>
      <c r="V99" s="2"/>
      <c r="W99" s="2"/>
      <c r="X99" s="2"/>
      <c r="Y99" s="2"/>
    </row>
    <row r="100">
      <c r="A100" s="5" t="str">
        <f>IFERROR(__xludf.DUMMYFUNCTION("LEFT(A99, 4) &amp; TEXT(VALUE(REGEXEXTRACT(A99, ""\d+"")) + 1, ""0000"")"),"SOM-0098")</f>
        <v>SOM-0098</v>
      </c>
      <c r="B100" s="3" t="s">
        <v>880</v>
      </c>
      <c r="C100" s="3" t="s">
        <v>977</v>
      </c>
      <c r="D100" s="2" t="str">
        <f t="shared" si="1"/>
        <v>PARALIZIA PARCIAL | D</v>
      </c>
      <c r="E100" s="3" t="s">
        <v>76</v>
      </c>
      <c r="F100" s="3" t="s">
        <v>29</v>
      </c>
      <c r="G100" s="3" t="s">
        <v>317</v>
      </c>
      <c r="H100" s="3" t="s">
        <v>884</v>
      </c>
      <c r="I100" s="3">
        <v>8.0</v>
      </c>
      <c r="J100" s="3" t="s">
        <v>50</v>
      </c>
      <c r="K100" s="3" t="s">
        <v>95</v>
      </c>
      <c r="L100" s="3" t="s">
        <v>195</v>
      </c>
      <c r="M100" s="3" t="s">
        <v>821</v>
      </c>
      <c r="N100" s="3" t="s">
        <v>634</v>
      </c>
      <c r="O100" s="3" t="s">
        <v>635</v>
      </c>
      <c r="P100" s="3" t="s">
        <v>978</v>
      </c>
      <c r="Q100" s="3" t="s">
        <v>979</v>
      </c>
      <c r="R100" s="2"/>
      <c r="S100" s="2"/>
      <c r="T100" s="2"/>
      <c r="U100" s="2"/>
      <c r="V100" s="2"/>
      <c r="W100" s="2"/>
      <c r="X100" s="2"/>
      <c r="Y100" s="2"/>
    </row>
    <row r="101">
      <c r="A101" s="5" t="str">
        <f>IFERROR(__xludf.DUMMYFUNCTION("LEFT(A100, 4) &amp; TEXT(VALUE(REGEXEXTRACT(A100, ""\d+"")) + 1, ""0000"")"),"SOM-0099")</f>
        <v>SOM-0099</v>
      </c>
      <c r="B101" s="3" t="s">
        <v>880</v>
      </c>
      <c r="C101" s="3" t="s">
        <v>977</v>
      </c>
      <c r="D101" s="2" t="str">
        <f t="shared" si="1"/>
        <v>PARALIZIA PARCIAL | D</v>
      </c>
      <c r="E101" s="3" t="s">
        <v>76</v>
      </c>
      <c r="F101" s="3" t="s">
        <v>30</v>
      </c>
      <c r="G101" s="3" t="s">
        <v>317</v>
      </c>
      <c r="H101" s="3" t="s">
        <v>884</v>
      </c>
      <c r="I101" s="3">
        <v>8.0</v>
      </c>
      <c r="J101" s="3" t="s">
        <v>23</v>
      </c>
      <c r="K101" s="3" t="s">
        <v>95</v>
      </c>
      <c r="L101" s="3" t="s">
        <v>195</v>
      </c>
      <c r="M101" s="3" t="s">
        <v>821</v>
      </c>
      <c r="N101" s="3" t="s">
        <v>636</v>
      </c>
      <c r="O101" s="3" t="s">
        <v>59</v>
      </c>
      <c r="P101" s="3" t="s">
        <v>978</v>
      </c>
      <c r="Q101" s="3" t="s">
        <v>979</v>
      </c>
      <c r="R101" s="2"/>
      <c r="S101" s="2"/>
      <c r="T101" s="2"/>
      <c r="U101" s="2"/>
      <c r="V101" s="2"/>
      <c r="W101" s="2"/>
      <c r="X101" s="2"/>
      <c r="Y101" s="2"/>
    </row>
    <row r="102">
      <c r="A102" s="5" t="str">
        <f>IFERROR(__xludf.DUMMYFUNCTION("LEFT(A101, 4) &amp; TEXT(VALUE(REGEXEXTRACT(A101, ""\d+"")) + 1, ""0000"")"),"SOM-0100")</f>
        <v>SOM-0100</v>
      </c>
      <c r="B102" s="3" t="s">
        <v>880</v>
      </c>
      <c r="C102" s="3" t="s">
        <v>980</v>
      </c>
      <c r="D102" s="2" t="str">
        <f t="shared" si="1"/>
        <v>PARALIZIA TOTAL | MD</v>
      </c>
      <c r="E102" s="3" t="s">
        <v>94</v>
      </c>
      <c r="F102" s="3" t="s">
        <v>21</v>
      </c>
      <c r="G102" s="3" t="s">
        <v>317</v>
      </c>
      <c r="H102" s="3" t="s">
        <v>884</v>
      </c>
      <c r="I102" s="3">
        <v>16.0</v>
      </c>
      <c r="J102" s="3" t="s">
        <v>50</v>
      </c>
      <c r="K102" s="3" t="s">
        <v>95</v>
      </c>
      <c r="L102" s="3" t="s">
        <v>195</v>
      </c>
      <c r="M102" s="3" t="s">
        <v>821</v>
      </c>
      <c r="N102" s="3" t="s">
        <v>629</v>
      </c>
      <c r="O102" s="3" t="s">
        <v>55</v>
      </c>
      <c r="P102" s="3" t="s">
        <v>981</v>
      </c>
      <c r="Q102" s="2"/>
      <c r="R102" s="2"/>
      <c r="S102" s="2"/>
      <c r="T102" s="2"/>
      <c r="U102" s="2"/>
      <c r="V102" s="2"/>
      <c r="W102" s="2"/>
      <c r="X102" s="2"/>
      <c r="Y102" s="2"/>
    </row>
    <row r="103">
      <c r="A103" s="5" t="str">
        <f>IFERROR(__xludf.DUMMYFUNCTION("LEFT(A102, 4) &amp; TEXT(VALUE(REGEXEXTRACT(A102, ""\d+"")) + 1, ""0000"")"),"SOM-0101")</f>
        <v>SOM-0101</v>
      </c>
      <c r="B103" s="3" t="s">
        <v>880</v>
      </c>
      <c r="C103" s="3" t="s">
        <v>980</v>
      </c>
      <c r="D103" s="2" t="str">
        <f t="shared" si="1"/>
        <v>PARALIZIA TOTAL | MD</v>
      </c>
      <c r="E103" s="3" t="s">
        <v>94</v>
      </c>
      <c r="F103" s="3" t="s">
        <v>27</v>
      </c>
      <c r="G103" s="3" t="s">
        <v>317</v>
      </c>
      <c r="H103" s="3" t="s">
        <v>884</v>
      </c>
      <c r="I103" s="3">
        <v>16.0</v>
      </c>
      <c r="J103" s="3" t="s">
        <v>50</v>
      </c>
      <c r="K103" s="3" t="s">
        <v>95</v>
      </c>
      <c r="L103" s="3" t="s">
        <v>195</v>
      </c>
      <c r="M103" s="3" t="s">
        <v>821</v>
      </c>
      <c r="N103" s="3" t="s">
        <v>631</v>
      </c>
      <c r="O103" s="3" t="s">
        <v>57</v>
      </c>
      <c r="P103" s="3" t="s">
        <v>981</v>
      </c>
      <c r="Q103" s="2"/>
      <c r="R103" s="2"/>
      <c r="S103" s="2"/>
      <c r="T103" s="2"/>
      <c r="U103" s="2"/>
      <c r="V103" s="2"/>
      <c r="W103" s="2"/>
      <c r="X103" s="2"/>
      <c r="Y103" s="2"/>
    </row>
    <row r="104">
      <c r="A104" s="5" t="str">
        <f>IFERROR(__xludf.DUMMYFUNCTION("LEFT(A103, 4) &amp; TEXT(VALUE(REGEXEXTRACT(A103, ""\d+"")) + 1, ""0000"")"),"SOM-0102")</f>
        <v>SOM-0102</v>
      </c>
      <c r="B104" s="3" t="s">
        <v>880</v>
      </c>
      <c r="C104" s="3" t="s">
        <v>980</v>
      </c>
      <c r="D104" s="2" t="str">
        <f t="shared" si="1"/>
        <v>PARALIZIA TOTAL | MD</v>
      </c>
      <c r="E104" s="3" t="s">
        <v>94</v>
      </c>
      <c r="F104" s="3" t="s">
        <v>28</v>
      </c>
      <c r="G104" s="3" t="s">
        <v>317</v>
      </c>
      <c r="H104" s="3" t="s">
        <v>884</v>
      </c>
      <c r="I104" s="3">
        <v>16.0</v>
      </c>
      <c r="J104" s="3" t="s">
        <v>50</v>
      </c>
      <c r="K104" s="3" t="s">
        <v>95</v>
      </c>
      <c r="L104" s="3" t="s">
        <v>195</v>
      </c>
      <c r="M104" s="3" t="s">
        <v>821</v>
      </c>
      <c r="N104" s="3" t="s">
        <v>632</v>
      </c>
      <c r="O104" s="3" t="s">
        <v>633</v>
      </c>
      <c r="P104" s="3" t="s">
        <v>981</v>
      </c>
      <c r="Q104" s="2"/>
      <c r="R104" s="2"/>
      <c r="S104" s="2"/>
      <c r="T104" s="2"/>
      <c r="U104" s="2"/>
      <c r="V104" s="2"/>
      <c r="W104" s="2"/>
      <c r="X104" s="2"/>
      <c r="Y104" s="2"/>
    </row>
    <row r="105">
      <c r="A105" s="5" t="str">
        <f>IFERROR(__xludf.DUMMYFUNCTION("LEFT(A104, 4) &amp; TEXT(VALUE(REGEXEXTRACT(A104, ""\d+"")) + 1, ""0000"")"),"SOM-0103")</f>
        <v>SOM-0103</v>
      </c>
      <c r="B105" s="3" t="s">
        <v>880</v>
      </c>
      <c r="C105" s="3" t="s">
        <v>980</v>
      </c>
      <c r="D105" s="2" t="str">
        <f t="shared" si="1"/>
        <v>PARALIZIA TOTAL | MD</v>
      </c>
      <c r="E105" s="3" t="s">
        <v>94</v>
      </c>
      <c r="F105" s="3" t="s">
        <v>29</v>
      </c>
      <c r="G105" s="3" t="s">
        <v>317</v>
      </c>
      <c r="H105" s="3" t="s">
        <v>884</v>
      </c>
      <c r="I105" s="3">
        <v>16.0</v>
      </c>
      <c r="J105" s="3" t="s">
        <v>50</v>
      </c>
      <c r="K105" s="3" t="s">
        <v>95</v>
      </c>
      <c r="L105" s="3" t="s">
        <v>195</v>
      </c>
      <c r="M105" s="3" t="s">
        <v>821</v>
      </c>
      <c r="N105" s="3" t="s">
        <v>634</v>
      </c>
      <c r="O105" s="3" t="s">
        <v>635</v>
      </c>
      <c r="P105" s="3" t="s">
        <v>981</v>
      </c>
      <c r="Q105" s="2"/>
      <c r="R105" s="2"/>
      <c r="S105" s="2"/>
      <c r="T105" s="2"/>
      <c r="U105" s="2"/>
      <c r="V105" s="2"/>
      <c r="W105" s="2"/>
      <c r="X105" s="2"/>
      <c r="Y105" s="2"/>
    </row>
    <row r="106">
      <c r="A106" s="5" t="str">
        <f>IFERROR(__xludf.DUMMYFUNCTION("LEFT(A105, 4) &amp; TEXT(VALUE(REGEXEXTRACT(A105, ""\d+"")) + 1, ""0000"")"),"SOM-0104")</f>
        <v>SOM-0104</v>
      </c>
      <c r="B106" s="3" t="s">
        <v>880</v>
      </c>
      <c r="C106" s="3" t="s">
        <v>980</v>
      </c>
      <c r="D106" s="2" t="str">
        <f t="shared" si="1"/>
        <v>PARALIZIA TOTAL | MD</v>
      </c>
      <c r="E106" s="3" t="s">
        <v>94</v>
      </c>
      <c r="F106" s="3" t="s">
        <v>30</v>
      </c>
      <c r="G106" s="3" t="s">
        <v>317</v>
      </c>
      <c r="H106" s="3" t="s">
        <v>884</v>
      </c>
      <c r="I106" s="3">
        <v>16.0</v>
      </c>
      <c r="J106" s="3" t="s">
        <v>23</v>
      </c>
      <c r="K106" s="3" t="s">
        <v>95</v>
      </c>
      <c r="L106" s="3" t="s">
        <v>195</v>
      </c>
      <c r="M106" s="3" t="s">
        <v>821</v>
      </c>
      <c r="N106" s="3" t="s">
        <v>636</v>
      </c>
      <c r="O106" s="3" t="s">
        <v>59</v>
      </c>
      <c r="P106" s="3" t="s">
        <v>981</v>
      </c>
      <c r="Q106" s="2"/>
      <c r="R106" s="2"/>
      <c r="S106" s="2"/>
      <c r="T106" s="2"/>
      <c r="U106" s="2"/>
      <c r="V106" s="2"/>
      <c r="W106" s="2"/>
      <c r="X106" s="2"/>
      <c r="Y106" s="2"/>
    </row>
    <row r="107">
      <c r="A107" s="5" t="str">
        <f>IFERROR(__xludf.DUMMYFUNCTION("LEFT(A106, 4) &amp; TEXT(VALUE(REGEXEXTRACT(A106, ""\d+"")) + 1, ""0000"")"),"SOM-0105")</f>
        <v>SOM-0105</v>
      </c>
      <c r="B107" s="3" t="s">
        <v>880</v>
      </c>
      <c r="C107" s="3" t="s">
        <v>982</v>
      </c>
      <c r="D107" s="2" t="str">
        <f t="shared" si="1"/>
        <v>RESISTIR DOR | MD</v>
      </c>
      <c r="E107" s="3" t="s">
        <v>94</v>
      </c>
      <c r="F107" s="3" t="s">
        <v>21</v>
      </c>
      <c r="G107" s="3" t="s">
        <v>583</v>
      </c>
      <c r="H107" s="3" t="s">
        <v>33</v>
      </c>
      <c r="I107" s="3">
        <v>4.0</v>
      </c>
      <c r="J107" s="3" t="s">
        <v>23</v>
      </c>
      <c r="K107" s="3" t="s">
        <v>95</v>
      </c>
      <c r="L107" s="6" t="s">
        <v>65</v>
      </c>
      <c r="M107" s="3" t="s">
        <v>821</v>
      </c>
      <c r="N107" s="3" t="s">
        <v>125</v>
      </c>
      <c r="O107" s="3" t="s">
        <v>126</v>
      </c>
      <c r="P107" s="3" t="s">
        <v>983</v>
      </c>
      <c r="Q107" s="2"/>
      <c r="R107" s="2"/>
      <c r="S107" s="2"/>
      <c r="T107" s="2"/>
      <c r="U107" s="2"/>
      <c r="V107" s="2"/>
      <c r="W107" s="2"/>
      <c r="X107" s="2"/>
      <c r="Y107" s="2"/>
    </row>
    <row r="108">
      <c r="A108" s="5" t="str">
        <f>IFERROR(__xludf.DUMMYFUNCTION("LEFT(A107, 4) &amp; TEXT(VALUE(REGEXEXTRACT(A107, ""\d+"")) + 1, ""0000"")"),"SOM-0106")</f>
        <v>SOM-0106</v>
      </c>
      <c r="B108" s="3" t="s">
        <v>880</v>
      </c>
      <c r="C108" s="3" t="s">
        <v>982</v>
      </c>
      <c r="D108" s="2" t="str">
        <f t="shared" si="1"/>
        <v>RESISTIR DOR | MD</v>
      </c>
      <c r="E108" s="3" t="s">
        <v>94</v>
      </c>
      <c r="F108" s="3" t="s">
        <v>27</v>
      </c>
      <c r="G108" s="3" t="s">
        <v>583</v>
      </c>
      <c r="H108" s="3" t="s">
        <v>33</v>
      </c>
      <c r="I108" s="3">
        <v>4.0</v>
      </c>
      <c r="J108" s="3" t="s">
        <v>23</v>
      </c>
      <c r="K108" s="3" t="s">
        <v>95</v>
      </c>
      <c r="L108" s="6" t="s">
        <v>35</v>
      </c>
      <c r="M108" s="3" t="s">
        <v>821</v>
      </c>
      <c r="N108" s="3" t="s">
        <v>128</v>
      </c>
      <c r="O108" s="3" t="s">
        <v>126</v>
      </c>
      <c r="P108" s="3" t="s">
        <v>983</v>
      </c>
      <c r="Q108" s="2"/>
      <c r="R108" s="2"/>
      <c r="S108" s="2"/>
      <c r="T108" s="2"/>
      <c r="U108" s="2"/>
      <c r="V108" s="2"/>
      <c r="W108" s="2"/>
      <c r="X108" s="2"/>
      <c r="Y108" s="2"/>
    </row>
    <row r="109">
      <c r="A109" s="5" t="str">
        <f>IFERROR(__xludf.DUMMYFUNCTION("LEFT(A108, 4) &amp; TEXT(VALUE(REGEXEXTRACT(A108, ""\d+"")) + 1, ""0000"")"),"SOM-0107")</f>
        <v>SOM-0107</v>
      </c>
      <c r="B109" s="3" t="s">
        <v>880</v>
      </c>
      <c r="C109" s="3" t="s">
        <v>982</v>
      </c>
      <c r="D109" s="2" t="str">
        <f t="shared" si="1"/>
        <v>RESISTIR DOR | MD</v>
      </c>
      <c r="E109" s="3" t="s">
        <v>94</v>
      </c>
      <c r="F109" s="3" t="s">
        <v>28</v>
      </c>
      <c r="G109" s="3" t="s">
        <v>583</v>
      </c>
      <c r="H109" s="3" t="s">
        <v>33</v>
      </c>
      <c r="I109" s="3">
        <v>4.0</v>
      </c>
      <c r="J109" s="3" t="s">
        <v>23</v>
      </c>
      <c r="K109" s="3" t="s">
        <v>95</v>
      </c>
      <c r="L109" s="6" t="s">
        <v>70</v>
      </c>
      <c r="M109" s="3" t="s">
        <v>821</v>
      </c>
      <c r="N109" s="3" t="s">
        <v>130</v>
      </c>
      <c r="O109" s="3" t="s">
        <v>131</v>
      </c>
      <c r="P109" s="3" t="s">
        <v>983</v>
      </c>
      <c r="Q109" s="2"/>
      <c r="R109" s="2"/>
      <c r="S109" s="2"/>
      <c r="T109" s="2"/>
      <c r="U109" s="2"/>
      <c r="V109" s="2"/>
      <c r="W109" s="2"/>
      <c r="X109" s="2"/>
      <c r="Y109" s="2"/>
    </row>
    <row r="110">
      <c r="A110" s="5" t="str">
        <f>IFERROR(__xludf.DUMMYFUNCTION("LEFT(A109, 4) &amp; TEXT(VALUE(REGEXEXTRACT(A109, ""\d+"")) + 1, ""0000"")"),"SOM-0108")</f>
        <v>SOM-0108</v>
      </c>
      <c r="B110" s="3" t="s">
        <v>880</v>
      </c>
      <c r="C110" s="3" t="s">
        <v>982</v>
      </c>
      <c r="D110" s="2" t="str">
        <f t="shared" si="1"/>
        <v>RESISTIR DOR | MD</v>
      </c>
      <c r="E110" s="3" t="s">
        <v>94</v>
      </c>
      <c r="F110" s="3" t="s">
        <v>29</v>
      </c>
      <c r="G110" s="3" t="s">
        <v>583</v>
      </c>
      <c r="H110" s="3" t="s">
        <v>33</v>
      </c>
      <c r="I110" s="3">
        <v>4.0</v>
      </c>
      <c r="J110" s="3" t="s">
        <v>23</v>
      </c>
      <c r="K110" s="3" t="s">
        <v>95</v>
      </c>
      <c r="L110" s="6" t="s">
        <v>72</v>
      </c>
      <c r="M110" s="3" t="s">
        <v>821</v>
      </c>
      <c r="N110" s="3" t="s">
        <v>133</v>
      </c>
      <c r="O110" s="3" t="s">
        <v>131</v>
      </c>
      <c r="P110" s="3" t="s">
        <v>983</v>
      </c>
      <c r="Q110" s="2"/>
      <c r="R110" s="2"/>
      <c r="S110" s="2"/>
      <c r="T110" s="2"/>
      <c r="U110" s="2"/>
      <c r="V110" s="2"/>
      <c r="W110" s="2"/>
      <c r="X110" s="2"/>
      <c r="Y110" s="2"/>
    </row>
    <row r="111">
      <c r="A111" s="5" t="str">
        <f>IFERROR(__xludf.DUMMYFUNCTION("LEFT(A110, 4) &amp; TEXT(VALUE(REGEXEXTRACT(A110, ""\d+"")) + 1, ""0000"")"),"SOM-0109")</f>
        <v>SOM-0109</v>
      </c>
      <c r="B111" s="3" t="s">
        <v>880</v>
      </c>
      <c r="C111" s="3" t="s">
        <v>982</v>
      </c>
      <c r="D111" s="2" t="str">
        <f t="shared" si="1"/>
        <v>RESISTIR DOR | MD</v>
      </c>
      <c r="E111" s="3" t="s">
        <v>94</v>
      </c>
      <c r="F111" s="3" t="s">
        <v>30</v>
      </c>
      <c r="G111" s="3" t="s">
        <v>583</v>
      </c>
      <c r="H111" s="3" t="s">
        <v>33</v>
      </c>
      <c r="I111" s="3">
        <v>4.0</v>
      </c>
      <c r="J111" s="3" t="s">
        <v>23</v>
      </c>
      <c r="K111" s="3" t="s">
        <v>95</v>
      </c>
      <c r="L111" s="6" t="s">
        <v>39</v>
      </c>
      <c r="M111" s="3" t="s">
        <v>821</v>
      </c>
      <c r="N111" s="3" t="s">
        <v>135</v>
      </c>
      <c r="O111" s="3" t="s">
        <v>136</v>
      </c>
      <c r="P111" s="3" t="s">
        <v>983</v>
      </c>
      <c r="Q111" s="2"/>
      <c r="R111" s="2"/>
      <c r="S111" s="2"/>
      <c r="T111" s="2"/>
      <c r="U111" s="2"/>
      <c r="V111" s="2"/>
      <c r="W111" s="2"/>
      <c r="X111" s="2"/>
      <c r="Y111" s="2"/>
    </row>
    <row r="112">
      <c r="A112" s="5" t="str">
        <f>IFERROR(__xludf.DUMMYFUNCTION("LEFT(A111, 4) &amp; TEXT(VALUE(REGEXEXTRACT(A111, ""\d+"")) + 1, ""0000"")"),"SOM-0110")</f>
        <v>SOM-0110</v>
      </c>
      <c r="B112" s="3" t="s">
        <v>880</v>
      </c>
      <c r="C112" s="3" t="s">
        <v>984</v>
      </c>
      <c r="D112" s="2" t="str">
        <f t="shared" si="1"/>
        <v>ENCOLHER | D</v>
      </c>
      <c r="E112" s="3" t="s">
        <v>76</v>
      </c>
      <c r="F112" s="3" t="s">
        <v>21</v>
      </c>
      <c r="G112" s="3" t="s">
        <v>77</v>
      </c>
      <c r="H112" s="3" t="s">
        <v>33</v>
      </c>
      <c r="I112" s="3">
        <v>8.0</v>
      </c>
      <c r="J112" s="3" t="s">
        <v>50</v>
      </c>
      <c r="K112" s="3" t="s">
        <v>24</v>
      </c>
      <c r="L112" s="3" t="s">
        <v>24</v>
      </c>
      <c r="M112" s="3" t="s">
        <v>24</v>
      </c>
      <c r="N112" s="3" t="s">
        <v>629</v>
      </c>
      <c r="O112" s="3" t="s">
        <v>55</v>
      </c>
      <c r="P112" s="3" t="s">
        <v>985</v>
      </c>
      <c r="Q112" s="3" t="s">
        <v>986</v>
      </c>
      <c r="R112" s="2"/>
      <c r="S112" s="2"/>
      <c r="T112" s="2"/>
      <c r="U112" s="2"/>
      <c r="V112" s="2"/>
      <c r="W112" s="2"/>
      <c r="X112" s="2"/>
      <c r="Y112" s="2"/>
    </row>
    <row r="113">
      <c r="A113" s="5" t="str">
        <f>IFERROR(__xludf.DUMMYFUNCTION("LEFT(A112, 4) &amp; TEXT(VALUE(REGEXEXTRACT(A112, ""\d+"")) + 1, ""0000"")"),"SOM-0111")</f>
        <v>SOM-0111</v>
      </c>
      <c r="B113" s="3" t="s">
        <v>880</v>
      </c>
      <c r="C113" s="3" t="s">
        <v>984</v>
      </c>
      <c r="D113" s="2" t="str">
        <f t="shared" si="1"/>
        <v>ENCOLHER | D</v>
      </c>
      <c r="E113" s="3" t="s">
        <v>76</v>
      </c>
      <c r="F113" s="3" t="s">
        <v>27</v>
      </c>
      <c r="G113" s="3" t="s">
        <v>77</v>
      </c>
      <c r="H113" s="3" t="s">
        <v>33</v>
      </c>
      <c r="I113" s="3">
        <v>8.0</v>
      </c>
      <c r="J113" s="3" t="s">
        <v>50</v>
      </c>
      <c r="K113" s="3" t="s">
        <v>24</v>
      </c>
      <c r="L113" s="3" t="s">
        <v>24</v>
      </c>
      <c r="M113" s="3" t="s">
        <v>24</v>
      </c>
      <c r="N113" s="3" t="s">
        <v>631</v>
      </c>
      <c r="O113" s="3" t="s">
        <v>57</v>
      </c>
      <c r="P113" s="3" t="s">
        <v>985</v>
      </c>
      <c r="Q113" s="3" t="s">
        <v>986</v>
      </c>
      <c r="R113" s="2"/>
      <c r="S113" s="2"/>
      <c r="T113" s="2"/>
      <c r="U113" s="2"/>
      <c r="V113" s="2"/>
      <c r="W113" s="2"/>
      <c r="X113" s="2"/>
      <c r="Y113" s="2"/>
    </row>
    <row r="114">
      <c r="A114" s="5" t="str">
        <f>IFERROR(__xludf.DUMMYFUNCTION("LEFT(A113, 4) &amp; TEXT(VALUE(REGEXEXTRACT(A113, ""\d+"")) + 1, ""0000"")"),"SOM-0112")</f>
        <v>SOM-0112</v>
      </c>
      <c r="B114" s="3" t="s">
        <v>880</v>
      </c>
      <c r="C114" s="3" t="s">
        <v>984</v>
      </c>
      <c r="D114" s="2" t="str">
        <f t="shared" si="1"/>
        <v>ENCOLHER | D</v>
      </c>
      <c r="E114" s="3" t="s">
        <v>76</v>
      </c>
      <c r="F114" s="3" t="s">
        <v>28</v>
      </c>
      <c r="G114" s="3" t="s">
        <v>77</v>
      </c>
      <c r="H114" s="3" t="s">
        <v>33</v>
      </c>
      <c r="I114" s="3">
        <v>8.0</v>
      </c>
      <c r="J114" s="3" t="s">
        <v>50</v>
      </c>
      <c r="K114" s="3" t="s">
        <v>24</v>
      </c>
      <c r="L114" s="3" t="s">
        <v>24</v>
      </c>
      <c r="M114" s="3" t="s">
        <v>24</v>
      </c>
      <c r="N114" s="3" t="s">
        <v>632</v>
      </c>
      <c r="O114" s="3" t="s">
        <v>633</v>
      </c>
      <c r="P114" s="3" t="s">
        <v>985</v>
      </c>
      <c r="Q114" s="3" t="s">
        <v>986</v>
      </c>
      <c r="R114" s="2"/>
      <c r="S114" s="2"/>
      <c r="T114" s="2"/>
      <c r="U114" s="2"/>
      <c r="V114" s="2"/>
      <c r="W114" s="2"/>
      <c r="X114" s="2"/>
      <c r="Y114" s="2"/>
    </row>
    <row r="115">
      <c r="A115" s="5" t="str">
        <f>IFERROR(__xludf.DUMMYFUNCTION("LEFT(A114, 4) &amp; TEXT(VALUE(REGEXEXTRACT(A114, ""\d+"")) + 1, ""0000"")"),"SOM-0113")</f>
        <v>SOM-0113</v>
      </c>
      <c r="B115" s="3" t="s">
        <v>880</v>
      </c>
      <c r="C115" s="3" t="s">
        <v>984</v>
      </c>
      <c r="D115" s="2" t="str">
        <f t="shared" si="1"/>
        <v>ENCOLHER | D</v>
      </c>
      <c r="E115" s="3" t="s">
        <v>76</v>
      </c>
      <c r="F115" s="3" t="s">
        <v>29</v>
      </c>
      <c r="G115" s="3" t="s">
        <v>77</v>
      </c>
      <c r="H115" s="3" t="s">
        <v>33</v>
      </c>
      <c r="I115" s="3">
        <v>8.0</v>
      </c>
      <c r="J115" s="3" t="s">
        <v>50</v>
      </c>
      <c r="K115" s="3" t="s">
        <v>24</v>
      </c>
      <c r="L115" s="3" t="s">
        <v>24</v>
      </c>
      <c r="M115" s="3" t="s">
        <v>24</v>
      </c>
      <c r="N115" s="3" t="s">
        <v>634</v>
      </c>
      <c r="O115" s="3" t="s">
        <v>635</v>
      </c>
      <c r="P115" s="3" t="s">
        <v>985</v>
      </c>
      <c r="Q115" s="3" t="s">
        <v>986</v>
      </c>
      <c r="R115" s="2"/>
      <c r="S115" s="2"/>
      <c r="T115" s="2"/>
      <c r="U115" s="2"/>
      <c r="V115" s="2"/>
      <c r="W115" s="2"/>
      <c r="X115" s="2"/>
      <c r="Y115" s="2"/>
    </row>
    <row r="116">
      <c r="A116" s="5" t="str">
        <f>IFERROR(__xludf.DUMMYFUNCTION("LEFT(A115, 4) &amp; TEXT(VALUE(REGEXEXTRACT(A115, ""\d+"")) + 1, ""0000"")"),"SOM-0114")</f>
        <v>SOM-0114</v>
      </c>
      <c r="B116" s="3" t="s">
        <v>880</v>
      </c>
      <c r="C116" s="3" t="s">
        <v>984</v>
      </c>
      <c r="D116" s="2" t="str">
        <f t="shared" si="1"/>
        <v>ENCOLHER | D</v>
      </c>
      <c r="E116" s="3" t="s">
        <v>76</v>
      </c>
      <c r="F116" s="3" t="s">
        <v>30</v>
      </c>
      <c r="G116" s="3" t="s">
        <v>77</v>
      </c>
      <c r="H116" s="3" t="s">
        <v>33</v>
      </c>
      <c r="I116" s="3">
        <v>8.0</v>
      </c>
      <c r="J116" s="3" t="s">
        <v>23</v>
      </c>
      <c r="K116" s="3" t="s">
        <v>24</v>
      </c>
      <c r="L116" s="3" t="s">
        <v>24</v>
      </c>
      <c r="M116" s="3" t="s">
        <v>24</v>
      </c>
      <c r="N116" s="3" t="s">
        <v>636</v>
      </c>
      <c r="O116" s="3" t="s">
        <v>59</v>
      </c>
      <c r="P116" s="3" t="s">
        <v>985</v>
      </c>
      <c r="Q116" s="3" t="s">
        <v>986</v>
      </c>
      <c r="R116" s="2"/>
      <c r="S116" s="2"/>
      <c r="T116" s="2"/>
      <c r="U116" s="2"/>
      <c r="V116" s="2"/>
      <c r="W116" s="2"/>
      <c r="X116" s="2"/>
      <c r="Y116" s="2"/>
    </row>
    <row r="117">
      <c r="A117" s="5" t="str">
        <f>IFERROR(__xludf.DUMMYFUNCTION("LEFT(A116, 4) &amp; TEXT(VALUE(REGEXEXTRACT(A116, ""\d+"")) + 1, ""0000"")"),"SOM-0115")</f>
        <v>SOM-0115</v>
      </c>
      <c r="B117" s="3" t="s">
        <v>880</v>
      </c>
      <c r="C117" s="3" t="s">
        <v>987</v>
      </c>
      <c r="D117" s="2" t="str">
        <f t="shared" si="1"/>
        <v>ENCOLHER OUTRO | MD</v>
      </c>
      <c r="E117" s="3" t="s">
        <v>94</v>
      </c>
      <c r="F117" s="3" t="s">
        <v>21</v>
      </c>
      <c r="G117" s="3" t="s">
        <v>77</v>
      </c>
      <c r="H117" s="3" t="s">
        <v>988</v>
      </c>
      <c r="I117" s="3">
        <v>16.0</v>
      </c>
      <c r="J117" s="3" t="s">
        <v>131</v>
      </c>
      <c r="K117" s="3" t="s">
        <v>95</v>
      </c>
      <c r="L117" s="6" t="s">
        <v>65</v>
      </c>
      <c r="M117" s="3" t="s">
        <v>124</v>
      </c>
      <c r="N117" s="3" t="s">
        <v>629</v>
      </c>
      <c r="O117" s="3" t="s">
        <v>55</v>
      </c>
      <c r="P117" s="3" t="s">
        <v>989</v>
      </c>
      <c r="Q117" s="3" t="s">
        <v>990</v>
      </c>
      <c r="R117" s="2"/>
      <c r="S117" s="2"/>
      <c r="T117" s="2"/>
      <c r="U117" s="2"/>
      <c r="V117" s="2"/>
      <c r="W117" s="2"/>
      <c r="X117" s="2"/>
      <c r="Y117" s="2"/>
    </row>
    <row r="118">
      <c r="A118" s="5" t="str">
        <f>IFERROR(__xludf.DUMMYFUNCTION("LEFT(A117, 4) &amp; TEXT(VALUE(REGEXEXTRACT(A117, ""\d+"")) + 1, ""0000"")"),"SOM-0116")</f>
        <v>SOM-0116</v>
      </c>
      <c r="B118" s="3" t="s">
        <v>880</v>
      </c>
      <c r="C118" s="3" t="s">
        <v>987</v>
      </c>
      <c r="D118" s="2" t="str">
        <f t="shared" si="1"/>
        <v>ENCOLHER OUTRO | MD</v>
      </c>
      <c r="E118" s="3" t="s">
        <v>94</v>
      </c>
      <c r="F118" s="3" t="s">
        <v>27</v>
      </c>
      <c r="G118" s="3" t="s">
        <v>77</v>
      </c>
      <c r="H118" s="3" t="s">
        <v>988</v>
      </c>
      <c r="I118" s="3">
        <v>16.0</v>
      </c>
      <c r="J118" s="3" t="s">
        <v>131</v>
      </c>
      <c r="K118" s="3" t="s">
        <v>95</v>
      </c>
      <c r="L118" s="6" t="s">
        <v>35</v>
      </c>
      <c r="M118" s="3" t="s">
        <v>124</v>
      </c>
      <c r="N118" s="3" t="s">
        <v>631</v>
      </c>
      <c r="O118" s="3" t="s">
        <v>57</v>
      </c>
      <c r="P118" s="3" t="s">
        <v>989</v>
      </c>
      <c r="Q118" s="3" t="s">
        <v>990</v>
      </c>
      <c r="R118" s="2"/>
      <c r="S118" s="2"/>
      <c r="T118" s="2"/>
      <c r="U118" s="2"/>
      <c r="V118" s="2"/>
      <c r="W118" s="2"/>
      <c r="X118" s="2"/>
      <c r="Y118" s="2"/>
    </row>
    <row r="119">
      <c r="A119" s="5" t="str">
        <f>IFERROR(__xludf.DUMMYFUNCTION("LEFT(A118, 4) &amp; TEXT(VALUE(REGEXEXTRACT(A118, ""\d+"")) + 1, ""0000"")"),"SOM-0117")</f>
        <v>SOM-0117</v>
      </c>
      <c r="B119" s="3" t="s">
        <v>880</v>
      </c>
      <c r="C119" s="3" t="s">
        <v>987</v>
      </c>
      <c r="D119" s="2" t="str">
        <f t="shared" si="1"/>
        <v>ENCOLHER OUTRO | MD</v>
      </c>
      <c r="E119" s="3" t="s">
        <v>94</v>
      </c>
      <c r="F119" s="3" t="s">
        <v>28</v>
      </c>
      <c r="G119" s="3" t="s">
        <v>77</v>
      </c>
      <c r="H119" s="3" t="s">
        <v>988</v>
      </c>
      <c r="I119" s="3">
        <v>16.0</v>
      </c>
      <c r="J119" s="3" t="s">
        <v>126</v>
      </c>
      <c r="K119" s="3" t="s">
        <v>95</v>
      </c>
      <c r="L119" s="6" t="s">
        <v>70</v>
      </c>
      <c r="M119" s="3" t="s">
        <v>124</v>
      </c>
      <c r="N119" s="3" t="s">
        <v>632</v>
      </c>
      <c r="O119" s="3" t="s">
        <v>633</v>
      </c>
      <c r="P119" s="3" t="s">
        <v>989</v>
      </c>
      <c r="Q119" s="3" t="s">
        <v>990</v>
      </c>
      <c r="R119" s="2"/>
      <c r="S119" s="2"/>
      <c r="T119" s="2"/>
      <c r="U119" s="2"/>
      <c r="V119" s="2"/>
      <c r="W119" s="2"/>
      <c r="X119" s="2"/>
      <c r="Y119" s="2"/>
    </row>
    <row r="120">
      <c r="A120" s="5" t="str">
        <f>IFERROR(__xludf.DUMMYFUNCTION("LEFT(A119, 4) &amp; TEXT(VALUE(REGEXEXTRACT(A119, ""\d+"")) + 1, ""0000"")"),"SOM-0118")</f>
        <v>SOM-0118</v>
      </c>
      <c r="B120" s="3" t="s">
        <v>880</v>
      </c>
      <c r="C120" s="3" t="s">
        <v>987</v>
      </c>
      <c r="D120" s="2" t="str">
        <f t="shared" si="1"/>
        <v>ENCOLHER OUTRO | MD</v>
      </c>
      <c r="E120" s="3" t="s">
        <v>94</v>
      </c>
      <c r="F120" s="3" t="s">
        <v>29</v>
      </c>
      <c r="G120" s="3" t="s">
        <v>77</v>
      </c>
      <c r="H120" s="3" t="s">
        <v>988</v>
      </c>
      <c r="I120" s="3">
        <v>16.0</v>
      </c>
      <c r="J120" s="3" t="s">
        <v>126</v>
      </c>
      <c r="K120" s="3" t="s">
        <v>95</v>
      </c>
      <c r="L120" s="6" t="s">
        <v>72</v>
      </c>
      <c r="M120" s="3" t="s">
        <v>124</v>
      </c>
      <c r="N120" s="3" t="s">
        <v>634</v>
      </c>
      <c r="O120" s="3" t="s">
        <v>635</v>
      </c>
      <c r="P120" s="3" t="s">
        <v>989</v>
      </c>
      <c r="Q120" s="3" t="s">
        <v>990</v>
      </c>
      <c r="R120" s="2"/>
      <c r="S120" s="2"/>
      <c r="T120" s="2"/>
      <c r="U120" s="2"/>
      <c r="V120" s="2"/>
      <c r="W120" s="2"/>
      <c r="X120" s="2"/>
      <c r="Y120" s="2"/>
    </row>
    <row r="121">
      <c r="A121" s="5" t="str">
        <f>IFERROR(__xludf.DUMMYFUNCTION("LEFT(A120, 4) &amp; TEXT(VALUE(REGEXEXTRACT(A120, ""\d+"")) + 1, ""0000"")"),"SOM-0119")</f>
        <v>SOM-0119</v>
      </c>
      <c r="B121" s="3" t="s">
        <v>880</v>
      </c>
      <c r="C121" s="3" t="s">
        <v>987</v>
      </c>
      <c r="D121" s="2" t="str">
        <f t="shared" si="1"/>
        <v>ENCOLHER OUTRO | MD</v>
      </c>
      <c r="E121" s="3" t="s">
        <v>94</v>
      </c>
      <c r="F121" s="3" t="s">
        <v>30</v>
      </c>
      <c r="G121" s="3" t="s">
        <v>77</v>
      </c>
      <c r="H121" s="3" t="s">
        <v>988</v>
      </c>
      <c r="I121" s="3">
        <v>16.0</v>
      </c>
      <c r="J121" s="3" t="s">
        <v>50</v>
      </c>
      <c r="K121" s="3" t="s">
        <v>95</v>
      </c>
      <c r="L121" s="6" t="s">
        <v>39</v>
      </c>
      <c r="M121" s="3" t="s">
        <v>124</v>
      </c>
      <c r="N121" s="3" t="s">
        <v>636</v>
      </c>
      <c r="O121" s="3" t="s">
        <v>59</v>
      </c>
      <c r="P121" s="3" t="s">
        <v>989</v>
      </c>
      <c r="Q121" s="3" t="s">
        <v>990</v>
      </c>
      <c r="R121" s="2"/>
      <c r="S121" s="2"/>
      <c r="T121" s="2"/>
      <c r="U121" s="2"/>
      <c r="V121" s="2"/>
      <c r="W121" s="2"/>
      <c r="X121" s="2"/>
      <c r="Y121" s="2"/>
    </row>
    <row r="122">
      <c r="A122" s="5" t="str">
        <f>IFERROR(__xludf.DUMMYFUNCTION("LEFT(A121, 4) &amp; TEXT(VALUE(REGEXEXTRACT(A121, ""\d+"")) + 1, ""0000"")"),"SOM-0120")</f>
        <v>SOM-0120</v>
      </c>
      <c r="B122" s="3" t="s">
        <v>880</v>
      </c>
      <c r="C122" s="3" t="s">
        <v>991</v>
      </c>
      <c r="D122" s="2" t="str">
        <f t="shared" si="1"/>
        <v>AMPLIAR | D</v>
      </c>
      <c r="E122" s="3" t="s">
        <v>76</v>
      </c>
      <c r="F122" s="3" t="s">
        <v>21</v>
      </c>
      <c r="G122" s="3" t="s">
        <v>77</v>
      </c>
      <c r="H122" s="3" t="s">
        <v>33</v>
      </c>
      <c r="I122" s="3">
        <v>8.0</v>
      </c>
      <c r="J122" s="3" t="s">
        <v>50</v>
      </c>
      <c r="K122" s="3" t="s">
        <v>24</v>
      </c>
      <c r="L122" s="3" t="s">
        <v>24</v>
      </c>
      <c r="M122" s="3" t="s">
        <v>24</v>
      </c>
      <c r="N122" s="3" t="s">
        <v>629</v>
      </c>
      <c r="O122" s="3" t="s">
        <v>55</v>
      </c>
      <c r="P122" s="3" t="s">
        <v>992</v>
      </c>
      <c r="Q122" s="3" t="s">
        <v>993</v>
      </c>
      <c r="R122" s="2"/>
      <c r="S122" s="2"/>
      <c r="T122" s="2"/>
      <c r="U122" s="2"/>
      <c r="V122" s="2"/>
      <c r="W122" s="2"/>
      <c r="X122" s="2"/>
      <c r="Y122" s="2"/>
    </row>
    <row r="123">
      <c r="A123" s="5" t="str">
        <f>IFERROR(__xludf.DUMMYFUNCTION("LEFT(A122, 4) &amp; TEXT(VALUE(REGEXEXTRACT(A122, ""\d+"")) + 1, ""0000"")"),"SOM-0121")</f>
        <v>SOM-0121</v>
      </c>
      <c r="B123" s="3" t="s">
        <v>880</v>
      </c>
      <c r="C123" s="3" t="s">
        <v>991</v>
      </c>
      <c r="D123" s="2" t="str">
        <f t="shared" si="1"/>
        <v>AMPLIAR | D</v>
      </c>
      <c r="E123" s="3" t="s">
        <v>76</v>
      </c>
      <c r="F123" s="3" t="s">
        <v>27</v>
      </c>
      <c r="G123" s="3" t="s">
        <v>77</v>
      </c>
      <c r="H123" s="3" t="s">
        <v>33</v>
      </c>
      <c r="I123" s="3">
        <v>8.0</v>
      </c>
      <c r="J123" s="3" t="s">
        <v>50</v>
      </c>
      <c r="K123" s="3" t="s">
        <v>24</v>
      </c>
      <c r="L123" s="3" t="s">
        <v>24</v>
      </c>
      <c r="M123" s="3" t="s">
        <v>24</v>
      </c>
      <c r="N123" s="3" t="s">
        <v>631</v>
      </c>
      <c r="O123" s="3" t="s">
        <v>57</v>
      </c>
      <c r="P123" s="3" t="s">
        <v>992</v>
      </c>
      <c r="Q123" s="3" t="s">
        <v>993</v>
      </c>
      <c r="R123" s="2"/>
      <c r="S123" s="2"/>
      <c r="T123" s="2"/>
      <c r="U123" s="2"/>
      <c r="V123" s="2"/>
      <c r="W123" s="2"/>
      <c r="X123" s="2"/>
      <c r="Y123" s="2"/>
    </row>
    <row r="124">
      <c r="A124" s="5" t="str">
        <f>IFERROR(__xludf.DUMMYFUNCTION("LEFT(A123, 4) &amp; TEXT(VALUE(REGEXEXTRACT(A123, ""\d+"")) + 1, ""0000"")"),"SOM-0122")</f>
        <v>SOM-0122</v>
      </c>
      <c r="B124" s="3" t="s">
        <v>880</v>
      </c>
      <c r="C124" s="3" t="s">
        <v>991</v>
      </c>
      <c r="D124" s="2" t="str">
        <f t="shared" si="1"/>
        <v>AMPLIAR | D</v>
      </c>
      <c r="E124" s="3" t="s">
        <v>76</v>
      </c>
      <c r="F124" s="3" t="s">
        <v>28</v>
      </c>
      <c r="G124" s="3" t="s">
        <v>77</v>
      </c>
      <c r="H124" s="3" t="s">
        <v>33</v>
      </c>
      <c r="I124" s="3">
        <v>8.0</v>
      </c>
      <c r="J124" s="3" t="s">
        <v>50</v>
      </c>
      <c r="K124" s="3" t="s">
        <v>24</v>
      </c>
      <c r="L124" s="3" t="s">
        <v>24</v>
      </c>
      <c r="M124" s="3" t="s">
        <v>24</v>
      </c>
      <c r="N124" s="3" t="s">
        <v>632</v>
      </c>
      <c r="O124" s="3" t="s">
        <v>633</v>
      </c>
      <c r="P124" s="3" t="s">
        <v>992</v>
      </c>
      <c r="Q124" s="3" t="s">
        <v>993</v>
      </c>
      <c r="R124" s="2"/>
      <c r="S124" s="2"/>
      <c r="T124" s="2"/>
      <c r="U124" s="2"/>
      <c r="V124" s="2"/>
      <c r="W124" s="2"/>
      <c r="X124" s="2"/>
      <c r="Y124" s="2"/>
    </row>
    <row r="125">
      <c r="A125" s="5" t="str">
        <f>IFERROR(__xludf.DUMMYFUNCTION("LEFT(A124, 4) &amp; TEXT(VALUE(REGEXEXTRACT(A124, ""\d+"")) + 1, ""0000"")"),"SOM-0123")</f>
        <v>SOM-0123</v>
      </c>
      <c r="B125" s="3" t="s">
        <v>880</v>
      </c>
      <c r="C125" s="3" t="s">
        <v>991</v>
      </c>
      <c r="D125" s="2" t="str">
        <f t="shared" si="1"/>
        <v>AMPLIAR | D</v>
      </c>
      <c r="E125" s="3" t="s">
        <v>76</v>
      </c>
      <c r="F125" s="3" t="s">
        <v>29</v>
      </c>
      <c r="G125" s="3" t="s">
        <v>77</v>
      </c>
      <c r="H125" s="3" t="s">
        <v>33</v>
      </c>
      <c r="I125" s="3">
        <v>8.0</v>
      </c>
      <c r="J125" s="3" t="s">
        <v>50</v>
      </c>
      <c r="K125" s="3" t="s">
        <v>24</v>
      </c>
      <c r="L125" s="3" t="s">
        <v>24</v>
      </c>
      <c r="M125" s="3" t="s">
        <v>24</v>
      </c>
      <c r="N125" s="3" t="s">
        <v>634</v>
      </c>
      <c r="O125" s="3" t="s">
        <v>635</v>
      </c>
      <c r="P125" s="3" t="s">
        <v>992</v>
      </c>
      <c r="Q125" s="3" t="s">
        <v>993</v>
      </c>
      <c r="R125" s="2"/>
      <c r="S125" s="2"/>
      <c r="T125" s="2"/>
      <c r="U125" s="2"/>
      <c r="V125" s="2"/>
      <c r="W125" s="2"/>
      <c r="X125" s="2"/>
      <c r="Y125" s="2"/>
    </row>
    <row r="126">
      <c r="A126" s="5" t="str">
        <f>IFERROR(__xludf.DUMMYFUNCTION("LEFT(A125, 4) &amp; TEXT(VALUE(REGEXEXTRACT(A125, ""\d+"")) + 1, ""0000"")"),"SOM-0124")</f>
        <v>SOM-0124</v>
      </c>
      <c r="B126" s="3" t="s">
        <v>880</v>
      </c>
      <c r="C126" s="3" t="s">
        <v>991</v>
      </c>
      <c r="D126" s="2" t="str">
        <f t="shared" si="1"/>
        <v>AMPLIAR | D</v>
      </c>
      <c r="E126" s="3" t="s">
        <v>76</v>
      </c>
      <c r="F126" s="3" t="s">
        <v>30</v>
      </c>
      <c r="G126" s="3" t="s">
        <v>77</v>
      </c>
      <c r="H126" s="3" t="s">
        <v>33</v>
      </c>
      <c r="I126" s="3">
        <v>8.0</v>
      </c>
      <c r="J126" s="3" t="s">
        <v>23</v>
      </c>
      <c r="K126" s="3" t="s">
        <v>24</v>
      </c>
      <c r="L126" s="3" t="s">
        <v>24</v>
      </c>
      <c r="M126" s="3" t="s">
        <v>24</v>
      </c>
      <c r="N126" s="3" t="s">
        <v>636</v>
      </c>
      <c r="O126" s="3" t="s">
        <v>59</v>
      </c>
      <c r="P126" s="3" t="s">
        <v>992</v>
      </c>
      <c r="Q126" s="3" t="s">
        <v>993</v>
      </c>
      <c r="R126" s="2"/>
      <c r="S126" s="2"/>
      <c r="T126" s="2"/>
      <c r="U126" s="2"/>
      <c r="V126" s="2"/>
      <c r="W126" s="2"/>
      <c r="X126" s="2"/>
      <c r="Y126" s="2"/>
    </row>
    <row r="127">
      <c r="A127" s="5" t="str">
        <f>IFERROR(__xludf.DUMMYFUNCTION("LEFT(A126, 4) &amp; TEXT(VALUE(REGEXEXTRACT(A126, ""\d+"")) + 1, ""0000"")"),"SOM-0125")</f>
        <v>SOM-0125</v>
      </c>
      <c r="B127" s="3" t="s">
        <v>880</v>
      </c>
      <c r="C127" s="3" t="s">
        <v>994</v>
      </c>
      <c r="D127" s="2" t="str">
        <f t="shared" si="1"/>
        <v>AMPLIAR OUTRO | MD</v>
      </c>
      <c r="E127" s="3" t="s">
        <v>94</v>
      </c>
      <c r="F127" s="3" t="s">
        <v>21</v>
      </c>
      <c r="G127" s="3" t="s">
        <v>77</v>
      </c>
      <c r="H127" s="3" t="s">
        <v>988</v>
      </c>
      <c r="I127" s="3">
        <v>16.0</v>
      </c>
      <c r="J127" s="3" t="s">
        <v>131</v>
      </c>
      <c r="K127" s="3" t="s">
        <v>95</v>
      </c>
      <c r="L127" s="6" t="s">
        <v>65</v>
      </c>
      <c r="M127" s="3" t="s">
        <v>124</v>
      </c>
      <c r="N127" s="3" t="s">
        <v>629</v>
      </c>
      <c r="O127" s="3" t="s">
        <v>55</v>
      </c>
      <c r="P127" s="3" t="s">
        <v>995</v>
      </c>
      <c r="Q127" s="2"/>
      <c r="R127" s="2"/>
      <c r="S127" s="2"/>
      <c r="T127" s="2"/>
      <c r="U127" s="2"/>
      <c r="V127" s="2"/>
      <c r="W127" s="2"/>
      <c r="X127" s="2"/>
      <c r="Y127" s="2"/>
    </row>
    <row r="128">
      <c r="A128" s="5" t="str">
        <f>IFERROR(__xludf.DUMMYFUNCTION("LEFT(A127, 4) &amp; TEXT(VALUE(REGEXEXTRACT(A127, ""\d+"")) + 1, ""0000"")"),"SOM-0126")</f>
        <v>SOM-0126</v>
      </c>
      <c r="B128" s="3" t="s">
        <v>880</v>
      </c>
      <c r="C128" s="3" t="s">
        <v>994</v>
      </c>
      <c r="D128" s="2" t="str">
        <f t="shared" si="1"/>
        <v>AMPLIAR OUTRO | MD</v>
      </c>
      <c r="E128" s="3" t="s">
        <v>94</v>
      </c>
      <c r="F128" s="3" t="s">
        <v>27</v>
      </c>
      <c r="G128" s="3" t="s">
        <v>77</v>
      </c>
      <c r="H128" s="3" t="s">
        <v>988</v>
      </c>
      <c r="I128" s="3">
        <v>16.0</v>
      </c>
      <c r="J128" s="3" t="s">
        <v>131</v>
      </c>
      <c r="K128" s="3" t="s">
        <v>95</v>
      </c>
      <c r="L128" s="6" t="s">
        <v>35</v>
      </c>
      <c r="M128" s="3" t="s">
        <v>124</v>
      </c>
      <c r="N128" s="3" t="s">
        <v>631</v>
      </c>
      <c r="O128" s="3" t="s">
        <v>57</v>
      </c>
      <c r="P128" s="3" t="s">
        <v>995</v>
      </c>
      <c r="Q128" s="2"/>
      <c r="R128" s="2"/>
      <c r="S128" s="2"/>
      <c r="T128" s="2"/>
      <c r="U128" s="2"/>
      <c r="V128" s="2"/>
      <c r="W128" s="2"/>
      <c r="X128" s="2"/>
      <c r="Y128" s="2"/>
    </row>
    <row r="129">
      <c r="A129" s="5" t="str">
        <f>IFERROR(__xludf.DUMMYFUNCTION("LEFT(A128, 4) &amp; TEXT(VALUE(REGEXEXTRACT(A128, ""\d+"")) + 1, ""0000"")"),"SOM-0127")</f>
        <v>SOM-0127</v>
      </c>
      <c r="B129" s="3" t="s">
        <v>880</v>
      </c>
      <c r="C129" s="3" t="s">
        <v>994</v>
      </c>
      <c r="D129" s="2" t="str">
        <f t="shared" si="1"/>
        <v>AMPLIAR OUTRO | MD</v>
      </c>
      <c r="E129" s="3" t="s">
        <v>94</v>
      </c>
      <c r="F129" s="3" t="s">
        <v>28</v>
      </c>
      <c r="G129" s="3" t="s">
        <v>77</v>
      </c>
      <c r="H129" s="3" t="s">
        <v>988</v>
      </c>
      <c r="I129" s="3">
        <v>16.0</v>
      </c>
      <c r="J129" s="3" t="s">
        <v>126</v>
      </c>
      <c r="K129" s="3" t="s">
        <v>95</v>
      </c>
      <c r="L129" s="6" t="s">
        <v>70</v>
      </c>
      <c r="M129" s="3" t="s">
        <v>124</v>
      </c>
      <c r="N129" s="3" t="s">
        <v>632</v>
      </c>
      <c r="O129" s="3" t="s">
        <v>633</v>
      </c>
      <c r="P129" s="3" t="s">
        <v>995</v>
      </c>
      <c r="Q129" s="2"/>
      <c r="R129" s="2"/>
      <c r="S129" s="2"/>
      <c r="T129" s="2"/>
      <c r="U129" s="2"/>
      <c r="V129" s="2"/>
      <c r="W129" s="2"/>
      <c r="X129" s="2"/>
      <c r="Y129" s="2"/>
    </row>
    <row r="130">
      <c r="A130" s="5" t="str">
        <f>IFERROR(__xludf.DUMMYFUNCTION("LEFT(A129, 4) &amp; TEXT(VALUE(REGEXEXTRACT(A129, ""\d+"")) + 1, ""0000"")"),"SOM-0128")</f>
        <v>SOM-0128</v>
      </c>
      <c r="B130" s="3" t="s">
        <v>880</v>
      </c>
      <c r="C130" s="3" t="s">
        <v>994</v>
      </c>
      <c r="D130" s="2" t="str">
        <f t="shared" si="1"/>
        <v>AMPLIAR OUTRO | MD</v>
      </c>
      <c r="E130" s="3" t="s">
        <v>94</v>
      </c>
      <c r="F130" s="3" t="s">
        <v>29</v>
      </c>
      <c r="G130" s="3" t="s">
        <v>77</v>
      </c>
      <c r="H130" s="3" t="s">
        <v>988</v>
      </c>
      <c r="I130" s="3">
        <v>16.0</v>
      </c>
      <c r="J130" s="3" t="s">
        <v>126</v>
      </c>
      <c r="K130" s="3" t="s">
        <v>95</v>
      </c>
      <c r="L130" s="6" t="s">
        <v>72</v>
      </c>
      <c r="M130" s="3" t="s">
        <v>124</v>
      </c>
      <c r="N130" s="3" t="s">
        <v>634</v>
      </c>
      <c r="O130" s="3" t="s">
        <v>635</v>
      </c>
      <c r="P130" s="3" t="s">
        <v>995</v>
      </c>
      <c r="Q130" s="2"/>
      <c r="R130" s="2"/>
      <c r="S130" s="2"/>
      <c r="T130" s="2"/>
      <c r="U130" s="2"/>
      <c r="V130" s="2"/>
      <c r="W130" s="2"/>
      <c r="X130" s="2"/>
      <c r="Y130" s="2"/>
    </row>
    <row r="131">
      <c r="A131" s="5" t="str">
        <f>IFERROR(__xludf.DUMMYFUNCTION("LEFT(A130, 4) &amp; TEXT(VALUE(REGEXEXTRACT(A130, ""\d+"")) + 1, ""0000"")"),"SOM-0129")</f>
        <v>SOM-0129</v>
      </c>
      <c r="B131" s="3" t="s">
        <v>880</v>
      </c>
      <c r="C131" s="3" t="s">
        <v>994</v>
      </c>
      <c r="D131" s="2" t="str">
        <f t="shared" si="1"/>
        <v>AMPLIAR OUTRO | MD</v>
      </c>
      <c r="E131" s="3" t="s">
        <v>94</v>
      </c>
      <c r="F131" s="3" t="s">
        <v>30</v>
      </c>
      <c r="G131" s="3" t="s">
        <v>77</v>
      </c>
      <c r="H131" s="3" t="s">
        <v>988</v>
      </c>
      <c r="I131" s="3">
        <v>16.0</v>
      </c>
      <c r="J131" s="3" t="s">
        <v>50</v>
      </c>
      <c r="K131" s="3" t="s">
        <v>95</v>
      </c>
      <c r="L131" s="6" t="s">
        <v>39</v>
      </c>
      <c r="M131" s="3" t="s">
        <v>124</v>
      </c>
      <c r="N131" s="3" t="s">
        <v>636</v>
      </c>
      <c r="O131" s="3" t="s">
        <v>59</v>
      </c>
      <c r="P131" s="3" t="s">
        <v>995</v>
      </c>
      <c r="Q131" s="2"/>
      <c r="R131" s="2"/>
      <c r="S131" s="2"/>
      <c r="T131" s="2"/>
      <c r="U131" s="2"/>
      <c r="V131" s="2"/>
      <c r="W131" s="2"/>
      <c r="X131" s="2"/>
      <c r="Y131" s="2"/>
    </row>
    <row r="132">
      <c r="A132" s="5" t="str">
        <f>IFERROR(__xludf.DUMMYFUNCTION("LEFT(A131, 4) &amp; TEXT(VALUE(REGEXEXTRACT(A131, ""\d+"")) + 1, ""0000"")"),"SOM-0130")</f>
        <v>SOM-0130</v>
      </c>
      <c r="B132" s="3" t="s">
        <v>880</v>
      </c>
      <c r="C132" s="3" t="s">
        <v>996</v>
      </c>
      <c r="D132" s="2" t="str">
        <f t="shared" si="1"/>
        <v>CORPULÊNCIA | MD</v>
      </c>
      <c r="E132" s="3" t="s">
        <v>94</v>
      </c>
      <c r="F132" s="3" t="s">
        <v>21</v>
      </c>
      <c r="G132" s="3" t="s">
        <v>77</v>
      </c>
      <c r="H132" s="3" t="s">
        <v>33</v>
      </c>
      <c r="I132" s="3">
        <v>16.0</v>
      </c>
      <c r="J132" s="3" t="s">
        <v>131</v>
      </c>
      <c r="K132" s="3" t="s">
        <v>95</v>
      </c>
      <c r="L132" s="6" t="s">
        <v>65</v>
      </c>
      <c r="M132" s="3" t="s">
        <v>124</v>
      </c>
      <c r="N132" s="3" t="s">
        <v>629</v>
      </c>
      <c r="O132" s="3" t="s">
        <v>55</v>
      </c>
      <c r="P132" s="3" t="s">
        <v>997</v>
      </c>
      <c r="Q132" s="3" t="s">
        <v>998</v>
      </c>
      <c r="R132" s="2"/>
      <c r="S132" s="2"/>
      <c r="T132" s="2"/>
      <c r="U132" s="2"/>
      <c r="V132" s="2"/>
      <c r="W132" s="2"/>
      <c r="X132" s="2"/>
      <c r="Y132" s="2"/>
    </row>
    <row r="133">
      <c r="A133" s="5" t="str">
        <f>IFERROR(__xludf.DUMMYFUNCTION("LEFT(A132, 4) &amp; TEXT(VALUE(REGEXEXTRACT(A132, ""\d+"")) + 1, ""0000"")"),"SOM-0131")</f>
        <v>SOM-0131</v>
      </c>
      <c r="B133" s="3" t="s">
        <v>880</v>
      </c>
      <c r="C133" s="3" t="s">
        <v>996</v>
      </c>
      <c r="D133" s="2" t="str">
        <f t="shared" si="1"/>
        <v>CORPULÊNCIA | MD</v>
      </c>
      <c r="E133" s="3" t="s">
        <v>94</v>
      </c>
      <c r="F133" s="3" t="s">
        <v>27</v>
      </c>
      <c r="G133" s="3" t="s">
        <v>77</v>
      </c>
      <c r="H133" s="3" t="s">
        <v>33</v>
      </c>
      <c r="I133" s="3">
        <v>16.0</v>
      </c>
      <c r="J133" s="3" t="s">
        <v>131</v>
      </c>
      <c r="K133" s="3" t="s">
        <v>95</v>
      </c>
      <c r="L133" s="6" t="s">
        <v>35</v>
      </c>
      <c r="M133" s="3" t="s">
        <v>124</v>
      </c>
      <c r="N133" s="3" t="s">
        <v>631</v>
      </c>
      <c r="O133" s="3" t="s">
        <v>57</v>
      </c>
      <c r="P133" s="3" t="s">
        <v>997</v>
      </c>
      <c r="Q133" s="3" t="s">
        <v>998</v>
      </c>
      <c r="R133" s="2"/>
      <c r="S133" s="2"/>
      <c r="T133" s="2"/>
      <c r="U133" s="2"/>
      <c r="V133" s="2"/>
      <c r="W133" s="2"/>
      <c r="X133" s="2"/>
      <c r="Y133" s="2"/>
    </row>
    <row r="134">
      <c r="A134" s="5" t="str">
        <f>IFERROR(__xludf.DUMMYFUNCTION("LEFT(A133, 4) &amp; TEXT(VALUE(REGEXEXTRACT(A133, ""\d+"")) + 1, ""0000"")"),"SOM-0132")</f>
        <v>SOM-0132</v>
      </c>
      <c r="B134" s="3" t="s">
        <v>880</v>
      </c>
      <c r="C134" s="3" t="s">
        <v>996</v>
      </c>
      <c r="D134" s="2" t="str">
        <f t="shared" si="1"/>
        <v>CORPULÊNCIA | MD</v>
      </c>
      <c r="E134" s="3" t="s">
        <v>94</v>
      </c>
      <c r="F134" s="3" t="s">
        <v>28</v>
      </c>
      <c r="G134" s="3" t="s">
        <v>77</v>
      </c>
      <c r="H134" s="3" t="s">
        <v>33</v>
      </c>
      <c r="I134" s="3">
        <v>16.0</v>
      </c>
      <c r="J134" s="3" t="s">
        <v>126</v>
      </c>
      <c r="K134" s="3" t="s">
        <v>95</v>
      </c>
      <c r="L134" s="6" t="s">
        <v>70</v>
      </c>
      <c r="M134" s="3" t="s">
        <v>124</v>
      </c>
      <c r="N134" s="3" t="s">
        <v>632</v>
      </c>
      <c r="O134" s="3" t="s">
        <v>633</v>
      </c>
      <c r="P134" s="3" t="s">
        <v>997</v>
      </c>
      <c r="Q134" s="3" t="s">
        <v>998</v>
      </c>
      <c r="R134" s="2"/>
      <c r="S134" s="2"/>
      <c r="T134" s="2"/>
      <c r="U134" s="2"/>
      <c r="V134" s="2"/>
      <c r="W134" s="2"/>
      <c r="X134" s="2"/>
      <c r="Y134" s="2"/>
    </row>
    <row r="135">
      <c r="A135" s="5" t="str">
        <f>IFERROR(__xludf.DUMMYFUNCTION("LEFT(A134, 4) &amp; TEXT(VALUE(REGEXEXTRACT(A134, ""\d+"")) + 1, ""0000"")"),"SOM-0133")</f>
        <v>SOM-0133</v>
      </c>
      <c r="B135" s="3" t="s">
        <v>880</v>
      </c>
      <c r="C135" s="3" t="s">
        <v>996</v>
      </c>
      <c r="D135" s="2" t="str">
        <f t="shared" si="1"/>
        <v>CORPULÊNCIA | MD</v>
      </c>
      <c r="E135" s="3" t="s">
        <v>94</v>
      </c>
      <c r="F135" s="3" t="s">
        <v>29</v>
      </c>
      <c r="G135" s="3" t="s">
        <v>77</v>
      </c>
      <c r="H135" s="3" t="s">
        <v>33</v>
      </c>
      <c r="I135" s="3">
        <v>16.0</v>
      </c>
      <c r="J135" s="3" t="s">
        <v>126</v>
      </c>
      <c r="K135" s="3" t="s">
        <v>95</v>
      </c>
      <c r="L135" s="6" t="s">
        <v>72</v>
      </c>
      <c r="M135" s="3" t="s">
        <v>124</v>
      </c>
      <c r="N135" s="3" t="s">
        <v>634</v>
      </c>
      <c r="O135" s="3" t="s">
        <v>635</v>
      </c>
      <c r="P135" s="3" t="s">
        <v>997</v>
      </c>
      <c r="Q135" s="3" t="s">
        <v>998</v>
      </c>
      <c r="R135" s="2"/>
      <c r="S135" s="2"/>
      <c r="T135" s="2"/>
      <c r="U135" s="2"/>
      <c r="V135" s="2"/>
      <c r="W135" s="2"/>
      <c r="X135" s="2"/>
      <c r="Y135" s="2"/>
    </row>
    <row r="136">
      <c r="A136" s="5" t="str">
        <f>IFERROR(__xludf.DUMMYFUNCTION("LEFT(A135, 4) &amp; TEXT(VALUE(REGEXEXTRACT(A135, ""\d+"")) + 1, ""0000"")"),"SOM-0134")</f>
        <v>SOM-0134</v>
      </c>
      <c r="B136" s="3" t="s">
        <v>880</v>
      </c>
      <c r="C136" s="3" t="s">
        <v>996</v>
      </c>
      <c r="D136" s="2" t="str">
        <f t="shared" si="1"/>
        <v>CORPULÊNCIA | MD</v>
      </c>
      <c r="E136" s="3" t="s">
        <v>94</v>
      </c>
      <c r="F136" s="3" t="s">
        <v>30</v>
      </c>
      <c r="G136" s="3" t="s">
        <v>77</v>
      </c>
      <c r="H136" s="3" t="s">
        <v>33</v>
      </c>
      <c r="I136" s="3">
        <v>16.0</v>
      </c>
      <c r="J136" s="3" t="s">
        <v>50</v>
      </c>
      <c r="K136" s="3" t="s">
        <v>95</v>
      </c>
      <c r="L136" s="6" t="s">
        <v>39</v>
      </c>
      <c r="M136" s="3" t="s">
        <v>124</v>
      </c>
      <c r="N136" s="3" t="s">
        <v>636</v>
      </c>
      <c r="O136" s="3" t="s">
        <v>59</v>
      </c>
      <c r="P136" s="3" t="s">
        <v>997</v>
      </c>
      <c r="Q136" s="3" t="s">
        <v>998</v>
      </c>
      <c r="R136" s="2"/>
      <c r="S136" s="2"/>
      <c r="T136" s="2"/>
      <c r="U136" s="2"/>
      <c r="V136" s="2"/>
      <c r="W136" s="2"/>
      <c r="X136" s="2"/>
      <c r="Y136" s="2"/>
    </row>
    <row r="137">
      <c r="A137" s="5" t="str">
        <f>IFERROR(__xludf.DUMMYFUNCTION("LEFT(A136, 4) &amp; TEXT(VALUE(REGEXEXTRACT(A136, ""\d+"")) + 1, ""0000"")"),"SOM-0135")</f>
        <v>SOM-0135</v>
      </c>
      <c r="B137" s="3" t="s">
        <v>880</v>
      </c>
      <c r="C137" s="3" t="s">
        <v>999</v>
      </c>
      <c r="D137" s="2" t="str">
        <f t="shared" si="1"/>
        <v>MAGREZA EXTREMA | MD</v>
      </c>
      <c r="E137" s="3" t="s">
        <v>94</v>
      </c>
      <c r="F137" s="3" t="s">
        <v>21</v>
      </c>
      <c r="G137" s="3" t="s">
        <v>77</v>
      </c>
      <c r="H137" s="3" t="s">
        <v>33</v>
      </c>
      <c r="I137" s="3">
        <v>16.0</v>
      </c>
      <c r="J137" s="3" t="s">
        <v>131</v>
      </c>
      <c r="K137" s="3" t="s">
        <v>95</v>
      </c>
      <c r="L137" s="6" t="s">
        <v>65</v>
      </c>
      <c r="M137" s="3" t="s">
        <v>124</v>
      </c>
      <c r="N137" s="3" t="s">
        <v>629</v>
      </c>
      <c r="O137" s="3" t="s">
        <v>55</v>
      </c>
      <c r="P137" s="3" t="s">
        <v>1000</v>
      </c>
      <c r="Q137" s="2"/>
      <c r="R137" s="2"/>
      <c r="S137" s="2"/>
      <c r="T137" s="2"/>
      <c r="U137" s="2"/>
      <c r="V137" s="2"/>
      <c r="W137" s="2"/>
      <c r="X137" s="2"/>
      <c r="Y137" s="2"/>
    </row>
    <row r="138">
      <c r="A138" s="5" t="str">
        <f>IFERROR(__xludf.DUMMYFUNCTION("LEFT(A137, 4) &amp; TEXT(VALUE(REGEXEXTRACT(A137, ""\d+"")) + 1, ""0000"")"),"SOM-0136")</f>
        <v>SOM-0136</v>
      </c>
      <c r="B138" s="3" t="s">
        <v>880</v>
      </c>
      <c r="C138" s="3" t="s">
        <v>999</v>
      </c>
      <c r="D138" s="2" t="str">
        <f t="shared" si="1"/>
        <v>MAGREZA EXTREMA | MD</v>
      </c>
      <c r="E138" s="3" t="s">
        <v>94</v>
      </c>
      <c r="F138" s="3" t="s">
        <v>27</v>
      </c>
      <c r="G138" s="3" t="s">
        <v>77</v>
      </c>
      <c r="H138" s="3" t="s">
        <v>33</v>
      </c>
      <c r="I138" s="3">
        <v>16.0</v>
      </c>
      <c r="J138" s="3" t="s">
        <v>131</v>
      </c>
      <c r="K138" s="3" t="s">
        <v>95</v>
      </c>
      <c r="L138" s="6" t="s">
        <v>35</v>
      </c>
      <c r="M138" s="3" t="s">
        <v>124</v>
      </c>
      <c r="N138" s="3" t="s">
        <v>631</v>
      </c>
      <c r="O138" s="3" t="s">
        <v>57</v>
      </c>
      <c r="P138" s="3" t="s">
        <v>1000</v>
      </c>
      <c r="Q138" s="2"/>
      <c r="R138" s="2"/>
      <c r="S138" s="2"/>
      <c r="T138" s="2"/>
      <c r="U138" s="2"/>
      <c r="V138" s="2"/>
      <c r="W138" s="2"/>
      <c r="X138" s="2"/>
      <c r="Y138" s="2"/>
    </row>
    <row r="139">
      <c r="A139" s="5" t="str">
        <f>IFERROR(__xludf.DUMMYFUNCTION("LEFT(A138, 4) &amp; TEXT(VALUE(REGEXEXTRACT(A138, ""\d+"")) + 1, ""0000"")"),"SOM-0137")</f>
        <v>SOM-0137</v>
      </c>
      <c r="B139" s="3" t="s">
        <v>880</v>
      </c>
      <c r="C139" s="3" t="s">
        <v>999</v>
      </c>
      <c r="D139" s="2" t="str">
        <f t="shared" si="1"/>
        <v>MAGREZA EXTREMA | MD</v>
      </c>
      <c r="E139" s="3" t="s">
        <v>94</v>
      </c>
      <c r="F139" s="3" t="s">
        <v>28</v>
      </c>
      <c r="G139" s="3" t="s">
        <v>77</v>
      </c>
      <c r="H139" s="3" t="s">
        <v>33</v>
      </c>
      <c r="I139" s="3">
        <v>16.0</v>
      </c>
      <c r="J139" s="3" t="s">
        <v>126</v>
      </c>
      <c r="K139" s="3" t="s">
        <v>95</v>
      </c>
      <c r="L139" s="6" t="s">
        <v>70</v>
      </c>
      <c r="M139" s="3" t="s">
        <v>124</v>
      </c>
      <c r="N139" s="3" t="s">
        <v>632</v>
      </c>
      <c r="O139" s="3" t="s">
        <v>633</v>
      </c>
      <c r="P139" s="3" t="s">
        <v>1000</v>
      </c>
      <c r="Q139" s="2"/>
      <c r="R139" s="2"/>
      <c r="S139" s="2"/>
      <c r="T139" s="2"/>
      <c r="U139" s="2"/>
      <c r="V139" s="2"/>
      <c r="W139" s="2"/>
      <c r="X139" s="2"/>
      <c r="Y139" s="2"/>
    </row>
    <row r="140">
      <c r="A140" s="5" t="str">
        <f>IFERROR(__xludf.DUMMYFUNCTION("LEFT(A139, 4) &amp; TEXT(VALUE(REGEXEXTRACT(A139, ""\d+"")) + 1, ""0000"")"),"SOM-0138")</f>
        <v>SOM-0138</v>
      </c>
      <c r="B140" s="3" t="s">
        <v>880</v>
      </c>
      <c r="C140" s="3" t="s">
        <v>999</v>
      </c>
      <c r="D140" s="2" t="str">
        <f t="shared" si="1"/>
        <v>MAGREZA EXTREMA | MD</v>
      </c>
      <c r="E140" s="3" t="s">
        <v>94</v>
      </c>
      <c r="F140" s="3" t="s">
        <v>29</v>
      </c>
      <c r="G140" s="3" t="s">
        <v>77</v>
      </c>
      <c r="H140" s="3" t="s">
        <v>33</v>
      </c>
      <c r="I140" s="3">
        <v>16.0</v>
      </c>
      <c r="J140" s="3" t="s">
        <v>126</v>
      </c>
      <c r="K140" s="3" t="s">
        <v>95</v>
      </c>
      <c r="L140" s="6" t="s">
        <v>72</v>
      </c>
      <c r="M140" s="3" t="s">
        <v>124</v>
      </c>
      <c r="N140" s="3" t="s">
        <v>634</v>
      </c>
      <c r="O140" s="3" t="s">
        <v>635</v>
      </c>
      <c r="P140" s="3" t="s">
        <v>1000</v>
      </c>
      <c r="Q140" s="2"/>
      <c r="R140" s="2"/>
      <c r="S140" s="2"/>
      <c r="T140" s="2"/>
      <c r="U140" s="2"/>
      <c r="V140" s="2"/>
      <c r="W140" s="2"/>
      <c r="X140" s="2"/>
      <c r="Y140" s="2"/>
    </row>
    <row r="141">
      <c r="A141" s="5" t="str">
        <f>IFERROR(__xludf.DUMMYFUNCTION("LEFT(A140, 4) &amp; TEXT(VALUE(REGEXEXTRACT(A140, ""\d+"")) + 1, ""0000"")"),"SOM-0139")</f>
        <v>SOM-0139</v>
      </c>
      <c r="B141" s="3" t="s">
        <v>880</v>
      </c>
      <c r="C141" s="3" t="s">
        <v>999</v>
      </c>
      <c r="D141" s="2" t="str">
        <f t="shared" si="1"/>
        <v>MAGREZA EXTREMA | MD</v>
      </c>
      <c r="E141" s="3" t="s">
        <v>94</v>
      </c>
      <c r="F141" s="3" t="s">
        <v>30</v>
      </c>
      <c r="G141" s="3" t="s">
        <v>77</v>
      </c>
      <c r="H141" s="3" t="s">
        <v>33</v>
      </c>
      <c r="I141" s="3">
        <v>16.0</v>
      </c>
      <c r="J141" s="3" t="s">
        <v>50</v>
      </c>
      <c r="K141" s="3" t="s">
        <v>95</v>
      </c>
      <c r="L141" s="6" t="s">
        <v>39</v>
      </c>
      <c r="M141" s="3" t="s">
        <v>124</v>
      </c>
      <c r="N141" s="3" t="s">
        <v>636</v>
      </c>
      <c r="O141" s="3" t="s">
        <v>59</v>
      </c>
      <c r="P141" s="3" t="s">
        <v>1000</v>
      </c>
      <c r="Q141" s="2"/>
      <c r="R141" s="2"/>
      <c r="S141" s="2"/>
      <c r="T141" s="2"/>
      <c r="U141" s="2"/>
      <c r="V141" s="2"/>
      <c r="W141" s="2"/>
      <c r="X141" s="2"/>
      <c r="Y141" s="2"/>
    </row>
    <row r="142">
      <c r="A142" s="5" t="str">
        <f>IFERROR(__xludf.DUMMYFUNCTION("LEFT(A141, 4) &amp; TEXT(VALUE(REGEXEXTRACT(A141, ""\d+"")) + 1, ""0000"")"),"SOM-0140")</f>
        <v>SOM-0140</v>
      </c>
      <c r="B142" s="3" t="s">
        <v>880</v>
      </c>
      <c r="C142" s="3" t="s">
        <v>1001</v>
      </c>
      <c r="D142" s="2" t="str">
        <f t="shared" si="1"/>
        <v>ESTICAR MEMBRO | M</v>
      </c>
      <c r="E142" s="3" t="s">
        <v>48</v>
      </c>
      <c r="F142" s="3" t="s">
        <v>21</v>
      </c>
      <c r="G142" s="3" t="s">
        <v>77</v>
      </c>
      <c r="H142" s="3" t="s">
        <v>33</v>
      </c>
      <c r="I142" s="3">
        <v>4.0</v>
      </c>
      <c r="J142" s="3" t="s">
        <v>117</v>
      </c>
      <c r="K142" s="3" t="s">
        <v>24</v>
      </c>
      <c r="L142" s="3" t="s">
        <v>24</v>
      </c>
      <c r="M142" s="3" t="s">
        <v>24</v>
      </c>
      <c r="N142" s="3" t="s">
        <v>455</v>
      </c>
      <c r="O142" s="3" t="s">
        <v>136</v>
      </c>
      <c r="P142" s="3" t="s">
        <v>1002</v>
      </c>
      <c r="Q142" s="3" t="s">
        <v>1003</v>
      </c>
      <c r="R142" s="2"/>
      <c r="S142" s="2"/>
      <c r="T142" s="2"/>
      <c r="U142" s="2"/>
      <c r="V142" s="2"/>
      <c r="W142" s="2"/>
      <c r="X142" s="2"/>
      <c r="Y142" s="2"/>
    </row>
    <row r="143">
      <c r="A143" s="5" t="str">
        <f>IFERROR(__xludf.DUMMYFUNCTION("LEFT(A142, 4) &amp; TEXT(VALUE(REGEXEXTRACT(A142, ""\d+"")) + 1, ""0000"")"),"SOM-0141")</f>
        <v>SOM-0141</v>
      </c>
      <c r="B143" s="3" t="s">
        <v>880</v>
      </c>
      <c r="C143" s="3" t="s">
        <v>1001</v>
      </c>
      <c r="D143" s="2" t="str">
        <f t="shared" si="1"/>
        <v>ESTICAR MEMBRO | M</v>
      </c>
      <c r="E143" s="3" t="s">
        <v>48</v>
      </c>
      <c r="F143" s="3" t="s">
        <v>27</v>
      </c>
      <c r="G143" s="3" t="s">
        <v>77</v>
      </c>
      <c r="H143" s="3" t="s">
        <v>33</v>
      </c>
      <c r="I143" s="3">
        <v>4.0</v>
      </c>
      <c r="J143" s="3" t="s">
        <v>117</v>
      </c>
      <c r="K143" s="3" t="s">
        <v>24</v>
      </c>
      <c r="L143" s="3" t="s">
        <v>24</v>
      </c>
      <c r="M143" s="3" t="s">
        <v>24</v>
      </c>
      <c r="N143" s="3" t="s">
        <v>458</v>
      </c>
      <c r="O143" s="3" t="s">
        <v>136</v>
      </c>
      <c r="P143" s="3" t="s">
        <v>1002</v>
      </c>
      <c r="Q143" s="3" t="s">
        <v>1003</v>
      </c>
      <c r="R143" s="2"/>
      <c r="S143" s="2"/>
      <c r="T143" s="2"/>
      <c r="U143" s="2"/>
      <c r="V143" s="2"/>
      <c r="W143" s="2"/>
      <c r="X143" s="2"/>
      <c r="Y143" s="2"/>
    </row>
    <row r="144">
      <c r="A144" s="5" t="str">
        <f>IFERROR(__xludf.DUMMYFUNCTION("LEFT(A143, 4) &amp; TEXT(VALUE(REGEXEXTRACT(A143, ""\d+"")) + 1, ""0000"")"),"SOM-0142")</f>
        <v>SOM-0142</v>
      </c>
      <c r="B144" s="3" t="s">
        <v>880</v>
      </c>
      <c r="C144" s="3" t="s">
        <v>1001</v>
      </c>
      <c r="D144" s="2" t="str">
        <f t="shared" si="1"/>
        <v>ESTICAR MEMBRO | M</v>
      </c>
      <c r="E144" s="3" t="s">
        <v>48</v>
      </c>
      <c r="F144" s="3" t="s">
        <v>28</v>
      </c>
      <c r="G144" s="3" t="s">
        <v>77</v>
      </c>
      <c r="H144" s="3" t="s">
        <v>33</v>
      </c>
      <c r="I144" s="3">
        <v>4.0</v>
      </c>
      <c r="J144" s="3" t="s">
        <v>117</v>
      </c>
      <c r="K144" s="3" t="s">
        <v>24</v>
      </c>
      <c r="L144" s="3" t="s">
        <v>24</v>
      </c>
      <c r="M144" s="3" t="s">
        <v>24</v>
      </c>
      <c r="N144" s="3" t="s">
        <v>1004</v>
      </c>
      <c r="O144" s="3" t="s">
        <v>659</v>
      </c>
      <c r="P144" s="3" t="s">
        <v>1002</v>
      </c>
      <c r="Q144" s="3" t="s">
        <v>1003</v>
      </c>
      <c r="R144" s="2"/>
      <c r="S144" s="2"/>
      <c r="T144" s="2"/>
      <c r="U144" s="2"/>
      <c r="V144" s="2"/>
      <c r="W144" s="2"/>
      <c r="X144" s="2"/>
      <c r="Y144" s="2"/>
    </row>
    <row r="145">
      <c r="A145" s="5" t="str">
        <f>IFERROR(__xludf.DUMMYFUNCTION("LEFT(A144, 4) &amp; TEXT(VALUE(REGEXEXTRACT(A144, ""\d+"")) + 1, ""0000"")"),"SOM-0143")</f>
        <v>SOM-0143</v>
      </c>
      <c r="B145" s="3" t="s">
        <v>880</v>
      </c>
      <c r="C145" s="3" t="s">
        <v>1001</v>
      </c>
      <c r="D145" s="2" t="str">
        <f t="shared" si="1"/>
        <v>ESTICAR MEMBRO | M</v>
      </c>
      <c r="E145" s="3" t="s">
        <v>48</v>
      </c>
      <c r="F145" s="3" t="s">
        <v>29</v>
      </c>
      <c r="G145" s="3" t="s">
        <v>77</v>
      </c>
      <c r="H145" s="3" t="s">
        <v>33</v>
      </c>
      <c r="I145" s="3">
        <v>4.0</v>
      </c>
      <c r="J145" s="3" t="s">
        <v>117</v>
      </c>
      <c r="K145" s="3" t="s">
        <v>24</v>
      </c>
      <c r="L145" s="3" t="s">
        <v>24</v>
      </c>
      <c r="M145" s="3" t="s">
        <v>24</v>
      </c>
      <c r="N145" s="3" t="s">
        <v>464</v>
      </c>
      <c r="O145" s="3" t="s">
        <v>659</v>
      </c>
      <c r="P145" s="3" t="s">
        <v>1002</v>
      </c>
      <c r="Q145" s="3" t="s">
        <v>1003</v>
      </c>
      <c r="R145" s="2"/>
      <c r="S145" s="2"/>
      <c r="T145" s="2"/>
      <c r="U145" s="2"/>
      <c r="V145" s="2"/>
      <c r="W145" s="2"/>
      <c r="X145" s="2"/>
      <c r="Y145" s="2"/>
    </row>
    <row r="146">
      <c r="A146" s="5" t="str">
        <f>IFERROR(__xludf.DUMMYFUNCTION("LEFT(A145, 4) &amp; TEXT(VALUE(REGEXEXTRACT(A145, ""\d+"")) + 1, ""0000"")"),"SOM-0144")</f>
        <v>SOM-0144</v>
      </c>
      <c r="B146" s="3" t="s">
        <v>880</v>
      </c>
      <c r="C146" s="3" t="s">
        <v>1001</v>
      </c>
      <c r="D146" s="2" t="str">
        <f t="shared" si="1"/>
        <v>ESTICAR MEMBRO | M</v>
      </c>
      <c r="E146" s="3" t="s">
        <v>48</v>
      </c>
      <c r="F146" s="3" t="s">
        <v>30</v>
      </c>
      <c r="G146" s="3" t="s">
        <v>77</v>
      </c>
      <c r="H146" s="3" t="s">
        <v>33</v>
      </c>
      <c r="I146" s="3">
        <v>4.0</v>
      </c>
      <c r="J146" s="3" t="s">
        <v>117</v>
      </c>
      <c r="K146" s="3" t="s">
        <v>24</v>
      </c>
      <c r="L146" s="3" t="s">
        <v>24</v>
      </c>
      <c r="M146" s="3" t="s">
        <v>24</v>
      </c>
      <c r="N146" s="3" t="s">
        <v>467</v>
      </c>
      <c r="O146" s="3" t="s">
        <v>1005</v>
      </c>
      <c r="P146" s="3" t="s">
        <v>1002</v>
      </c>
      <c r="Q146" s="3" t="s">
        <v>1003</v>
      </c>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5" max="5" width="9.38"/>
    <col customWidth="1" min="6" max="6" width="7.75"/>
    <col customWidth="1" min="7" max="7" width="8.75"/>
    <col customWidth="1" min="9" max="9" width="7.63"/>
    <col customWidth="1" min="10" max="10" width="10.38"/>
    <col customWidth="1" min="11" max="11" width="10.88"/>
    <col customWidth="1" min="16" max="16" width="24.63"/>
    <col customWidth="1" min="17" max="17" width="3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16" t="s">
        <v>1006</v>
      </c>
      <c r="B2" s="3" t="s">
        <v>1007</v>
      </c>
      <c r="C2" s="3" t="s">
        <v>1008</v>
      </c>
      <c r="D2" s="2" t="str">
        <f t="shared" ref="D2:D101" si="1">UPPER(CONCATENATE(C2, " | ",E2))</f>
        <v>MAGELOCK | F</v>
      </c>
      <c r="E2" s="3" t="s">
        <v>20</v>
      </c>
      <c r="F2" s="3" t="s">
        <v>21</v>
      </c>
      <c r="G2" s="3" t="s">
        <v>1009</v>
      </c>
      <c r="H2" s="3" t="s">
        <v>33</v>
      </c>
      <c r="I2" s="3">
        <v>2.0</v>
      </c>
      <c r="J2" s="3" t="s">
        <v>50</v>
      </c>
      <c r="K2" s="3" t="s">
        <v>95</v>
      </c>
      <c r="L2" s="3" t="s">
        <v>195</v>
      </c>
      <c r="M2" s="3" t="s">
        <v>1010</v>
      </c>
      <c r="N2" s="3" t="s">
        <v>276</v>
      </c>
      <c r="O2" s="3" t="s">
        <v>277</v>
      </c>
      <c r="P2" s="3" t="s">
        <v>1011</v>
      </c>
      <c r="Q2" s="3" t="s">
        <v>1012</v>
      </c>
      <c r="R2" s="2"/>
      <c r="S2" s="2"/>
      <c r="T2" s="2"/>
      <c r="U2" s="2"/>
      <c r="V2" s="2"/>
      <c r="W2" s="2"/>
      <c r="X2" s="2"/>
      <c r="Y2" s="2"/>
    </row>
    <row r="3">
      <c r="A3" s="5" t="str">
        <f>IFERROR(__xludf.DUMMYFUNCTION("LEFT(A2, 4) &amp; TEXT(VALUE(REGEXEXTRACT(A2, ""\d+"")) + 1, ""0000"")"),"UMB-0001")</f>
        <v>UMB-0001</v>
      </c>
      <c r="B3" s="3" t="s">
        <v>1007</v>
      </c>
      <c r="C3" s="3" t="s">
        <v>1008</v>
      </c>
      <c r="D3" s="2" t="str">
        <f t="shared" si="1"/>
        <v>MAGELOCK | F</v>
      </c>
      <c r="E3" s="3" t="s">
        <v>20</v>
      </c>
      <c r="F3" s="3" t="s">
        <v>27</v>
      </c>
      <c r="G3" s="3" t="s">
        <v>1009</v>
      </c>
      <c r="H3" s="3" t="s">
        <v>33</v>
      </c>
      <c r="I3" s="3">
        <v>2.0</v>
      </c>
      <c r="J3" s="3" t="s">
        <v>50</v>
      </c>
      <c r="K3" s="3" t="s">
        <v>95</v>
      </c>
      <c r="L3" s="3" t="s">
        <v>195</v>
      </c>
      <c r="M3" s="3" t="s">
        <v>1010</v>
      </c>
      <c r="N3" s="3" t="s">
        <v>280</v>
      </c>
      <c r="O3" s="3" t="s">
        <v>281</v>
      </c>
      <c r="P3" s="3" t="s">
        <v>1011</v>
      </c>
      <c r="Q3" s="3" t="s">
        <v>1012</v>
      </c>
      <c r="R3" s="2"/>
      <c r="S3" s="2"/>
      <c r="T3" s="2"/>
      <c r="U3" s="2"/>
      <c r="V3" s="2"/>
      <c r="W3" s="2"/>
      <c r="X3" s="2"/>
      <c r="Y3" s="2"/>
    </row>
    <row r="4">
      <c r="A4" s="5" t="str">
        <f>IFERROR(__xludf.DUMMYFUNCTION("LEFT(A3, 4) &amp; TEXT(VALUE(REGEXEXTRACT(A3, ""\d+"")) + 1, ""0000"")"),"UMB-0002")</f>
        <v>UMB-0002</v>
      </c>
      <c r="B4" s="3" t="s">
        <v>1007</v>
      </c>
      <c r="C4" s="3" t="s">
        <v>1008</v>
      </c>
      <c r="D4" s="2" t="str">
        <f t="shared" si="1"/>
        <v>MAGELOCK | F</v>
      </c>
      <c r="E4" s="3" t="s">
        <v>20</v>
      </c>
      <c r="F4" s="3" t="s">
        <v>28</v>
      </c>
      <c r="G4" s="3" t="s">
        <v>1009</v>
      </c>
      <c r="H4" s="3" t="s">
        <v>33</v>
      </c>
      <c r="I4" s="3">
        <v>2.0</v>
      </c>
      <c r="J4" s="3" t="s">
        <v>50</v>
      </c>
      <c r="K4" s="3" t="s">
        <v>95</v>
      </c>
      <c r="L4" s="3" t="s">
        <v>195</v>
      </c>
      <c r="M4" s="3" t="s">
        <v>1010</v>
      </c>
      <c r="N4" s="3" t="s">
        <v>282</v>
      </c>
      <c r="O4" s="3" t="s">
        <v>283</v>
      </c>
      <c r="P4" s="3" t="s">
        <v>1011</v>
      </c>
      <c r="Q4" s="3" t="s">
        <v>1012</v>
      </c>
      <c r="R4" s="2"/>
      <c r="S4" s="2"/>
      <c r="T4" s="2"/>
      <c r="U4" s="2"/>
      <c r="V4" s="2"/>
      <c r="W4" s="2"/>
      <c r="X4" s="2"/>
      <c r="Y4" s="2"/>
    </row>
    <row r="5">
      <c r="A5" s="5" t="str">
        <f>IFERROR(__xludf.DUMMYFUNCTION("LEFT(A4, 4) &amp; TEXT(VALUE(REGEXEXTRACT(A4, ""\d+"")) + 1, ""0000"")"),"UMB-0003")</f>
        <v>UMB-0003</v>
      </c>
      <c r="B5" s="3" t="s">
        <v>1007</v>
      </c>
      <c r="C5" s="3" t="s">
        <v>1008</v>
      </c>
      <c r="D5" s="2" t="str">
        <f t="shared" si="1"/>
        <v>MAGELOCK | F</v>
      </c>
      <c r="E5" s="3" t="s">
        <v>20</v>
      </c>
      <c r="F5" s="3" t="s">
        <v>29</v>
      </c>
      <c r="G5" s="3" t="s">
        <v>1009</v>
      </c>
      <c r="H5" s="3" t="s">
        <v>33</v>
      </c>
      <c r="I5" s="3">
        <v>2.0</v>
      </c>
      <c r="J5" s="3" t="s">
        <v>50</v>
      </c>
      <c r="K5" s="3" t="s">
        <v>95</v>
      </c>
      <c r="L5" s="3" t="s">
        <v>195</v>
      </c>
      <c r="M5" s="3" t="s">
        <v>1010</v>
      </c>
      <c r="N5" s="3" t="s">
        <v>284</v>
      </c>
      <c r="O5" s="3" t="s">
        <v>285</v>
      </c>
      <c r="P5" s="3" t="s">
        <v>1011</v>
      </c>
      <c r="Q5" s="3" t="s">
        <v>1012</v>
      </c>
      <c r="R5" s="2"/>
      <c r="S5" s="2"/>
      <c r="T5" s="2"/>
      <c r="U5" s="2"/>
      <c r="V5" s="2"/>
      <c r="W5" s="2"/>
      <c r="X5" s="2"/>
      <c r="Y5" s="2"/>
    </row>
    <row r="6">
      <c r="A6" s="5" t="str">
        <f>IFERROR(__xludf.DUMMYFUNCTION("LEFT(A5, 4) &amp; TEXT(VALUE(REGEXEXTRACT(A5, ""\d+"")) + 1, ""0000"")"),"UMB-0004")</f>
        <v>UMB-0004</v>
      </c>
      <c r="B6" s="3" t="s">
        <v>1007</v>
      </c>
      <c r="C6" s="3" t="s">
        <v>1008</v>
      </c>
      <c r="D6" s="2" t="str">
        <f t="shared" si="1"/>
        <v>MAGELOCK | F</v>
      </c>
      <c r="E6" s="3" t="s">
        <v>20</v>
      </c>
      <c r="F6" s="3" t="s">
        <v>30</v>
      </c>
      <c r="G6" s="3" t="s">
        <v>1009</v>
      </c>
      <c r="H6" s="3" t="s">
        <v>33</v>
      </c>
      <c r="I6" s="3">
        <v>2.0</v>
      </c>
      <c r="J6" s="3" t="s">
        <v>23</v>
      </c>
      <c r="K6" s="3" t="s">
        <v>95</v>
      </c>
      <c r="L6" s="3" t="s">
        <v>195</v>
      </c>
      <c r="M6" s="3" t="s">
        <v>1010</v>
      </c>
      <c r="N6" s="3" t="s">
        <v>286</v>
      </c>
      <c r="O6" s="3" t="s">
        <v>287</v>
      </c>
      <c r="P6" s="3" t="s">
        <v>1011</v>
      </c>
      <c r="Q6" s="3" t="s">
        <v>1012</v>
      </c>
      <c r="R6" s="2"/>
      <c r="S6" s="2"/>
      <c r="T6" s="2"/>
      <c r="U6" s="2"/>
      <c r="V6" s="2"/>
      <c r="W6" s="2"/>
      <c r="X6" s="2"/>
      <c r="Y6" s="2"/>
    </row>
    <row r="7">
      <c r="A7" s="5" t="str">
        <f>IFERROR(__xludf.DUMMYFUNCTION("LEFT(A6, 4) &amp; TEXT(VALUE(REGEXEXTRACT(A6, ""\d+"")) + 1, ""0000"")"),"UMB-0005")</f>
        <v>UMB-0005</v>
      </c>
      <c r="B7" s="3" t="s">
        <v>1007</v>
      </c>
      <c r="C7" s="3" t="s">
        <v>1013</v>
      </c>
      <c r="D7" s="2" t="str">
        <f t="shared" si="1"/>
        <v>LOCKSMITH | F</v>
      </c>
      <c r="E7" s="3" t="s">
        <v>20</v>
      </c>
      <c r="F7" s="3" t="s">
        <v>21</v>
      </c>
      <c r="G7" s="3" t="s">
        <v>1009</v>
      </c>
      <c r="H7" s="3" t="s">
        <v>33</v>
      </c>
      <c r="I7" s="3">
        <v>2.0</v>
      </c>
      <c r="J7" s="3" t="s">
        <v>23</v>
      </c>
      <c r="K7" s="3" t="s">
        <v>95</v>
      </c>
      <c r="L7" s="3" t="s">
        <v>195</v>
      </c>
      <c r="M7" s="3" t="s">
        <v>124</v>
      </c>
      <c r="N7" s="3" t="s">
        <v>276</v>
      </c>
      <c r="O7" s="3" t="s">
        <v>277</v>
      </c>
      <c r="P7" s="3" t="s">
        <v>1014</v>
      </c>
      <c r="Q7" s="3" t="s">
        <v>1015</v>
      </c>
      <c r="R7" s="2"/>
      <c r="S7" s="2"/>
      <c r="T7" s="2"/>
      <c r="U7" s="2"/>
      <c r="V7" s="2"/>
      <c r="W7" s="2"/>
      <c r="X7" s="2"/>
      <c r="Y7" s="2"/>
    </row>
    <row r="8">
      <c r="A8" s="5" t="str">
        <f>IFERROR(__xludf.DUMMYFUNCTION("LEFT(A7, 4) &amp; TEXT(VALUE(REGEXEXTRACT(A7, ""\d+"")) + 1, ""0000"")"),"UMB-0006")</f>
        <v>UMB-0006</v>
      </c>
      <c r="B8" s="3" t="s">
        <v>1007</v>
      </c>
      <c r="C8" s="3" t="s">
        <v>1013</v>
      </c>
      <c r="D8" s="2" t="str">
        <f t="shared" si="1"/>
        <v>LOCKSMITH | F</v>
      </c>
      <c r="E8" s="3" t="s">
        <v>20</v>
      </c>
      <c r="F8" s="3" t="s">
        <v>27</v>
      </c>
      <c r="G8" s="3" t="s">
        <v>1009</v>
      </c>
      <c r="H8" s="3" t="s">
        <v>33</v>
      </c>
      <c r="I8" s="3">
        <v>2.0</v>
      </c>
      <c r="J8" s="3" t="s">
        <v>23</v>
      </c>
      <c r="K8" s="3" t="s">
        <v>95</v>
      </c>
      <c r="L8" s="3" t="s">
        <v>195</v>
      </c>
      <c r="M8" s="3" t="s">
        <v>124</v>
      </c>
      <c r="N8" s="3" t="s">
        <v>280</v>
      </c>
      <c r="O8" s="3" t="s">
        <v>281</v>
      </c>
      <c r="P8" s="3" t="s">
        <v>1014</v>
      </c>
      <c r="Q8" s="3" t="s">
        <v>1015</v>
      </c>
      <c r="R8" s="2"/>
      <c r="S8" s="2"/>
      <c r="T8" s="2"/>
      <c r="U8" s="2"/>
      <c r="V8" s="2"/>
      <c r="W8" s="2"/>
      <c r="X8" s="2"/>
      <c r="Y8" s="2"/>
    </row>
    <row r="9">
      <c r="A9" s="5" t="str">
        <f>IFERROR(__xludf.DUMMYFUNCTION("LEFT(A8, 4) &amp; TEXT(VALUE(REGEXEXTRACT(A8, ""\d+"")) + 1, ""0000"")"),"UMB-0007")</f>
        <v>UMB-0007</v>
      </c>
      <c r="B9" s="3" t="s">
        <v>1007</v>
      </c>
      <c r="C9" s="3" t="s">
        <v>1013</v>
      </c>
      <c r="D9" s="2" t="str">
        <f t="shared" si="1"/>
        <v>LOCKSMITH | F</v>
      </c>
      <c r="E9" s="3" t="s">
        <v>20</v>
      </c>
      <c r="F9" s="3" t="s">
        <v>28</v>
      </c>
      <c r="G9" s="3" t="s">
        <v>1009</v>
      </c>
      <c r="H9" s="3" t="s">
        <v>33</v>
      </c>
      <c r="I9" s="3">
        <v>2.0</v>
      </c>
      <c r="J9" s="3" t="s">
        <v>23</v>
      </c>
      <c r="K9" s="3" t="s">
        <v>95</v>
      </c>
      <c r="L9" s="3" t="s">
        <v>195</v>
      </c>
      <c r="M9" s="3" t="s">
        <v>124</v>
      </c>
      <c r="N9" s="3" t="s">
        <v>282</v>
      </c>
      <c r="O9" s="3" t="s">
        <v>283</v>
      </c>
      <c r="P9" s="3" t="s">
        <v>1014</v>
      </c>
      <c r="Q9" s="3" t="s">
        <v>1015</v>
      </c>
      <c r="R9" s="2"/>
      <c r="S9" s="2"/>
      <c r="T9" s="2"/>
      <c r="U9" s="2"/>
      <c r="V9" s="2"/>
      <c r="W9" s="2"/>
      <c r="X9" s="2"/>
      <c r="Y9" s="2"/>
    </row>
    <row r="10">
      <c r="A10" s="5" t="str">
        <f>IFERROR(__xludf.DUMMYFUNCTION("LEFT(A9, 4) &amp; TEXT(VALUE(REGEXEXTRACT(A9, ""\d+"")) + 1, ""0000"")"),"UMB-0008")</f>
        <v>UMB-0008</v>
      </c>
      <c r="B10" s="3" t="s">
        <v>1007</v>
      </c>
      <c r="C10" s="3" t="s">
        <v>1013</v>
      </c>
      <c r="D10" s="2" t="str">
        <f t="shared" si="1"/>
        <v>LOCKSMITH | F</v>
      </c>
      <c r="E10" s="3" t="s">
        <v>20</v>
      </c>
      <c r="F10" s="3" t="s">
        <v>29</v>
      </c>
      <c r="G10" s="3" t="s">
        <v>1009</v>
      </c>
      <c r="H10" s="3" t="s">
        <v>33</v>
      </c>
      <c r="I10" s="3">
        <v>2.0</v>
      </c>
      <c r="J10" s="3" t="s">
        <v>23</v>
      </c>
      <c r="K10" s="3" t="s">
        <v>95</v>
      </c>
      <c r="L10" s="3" t="s">
        <v>195</v>
      </c>
      <c r="M10" s="3" t="s">
        <v>124</v>
      </c>
      <c r="N10" s="3" t="s">
        <v>284</v>
      </c>
      <c r="O10" s="3" t="s">
        <v>285</v>
      </c>
      <c r="P10" s="3" t="s">
        <v>1014</v>
      </c>
      <c r="Q10" s="3" t="s">
        <v>1015</v>
      </c>
      <c r="R10" s="2"/>
      <c r="S10" s="2"/>
      <c r="T10" s="2"/>
      <c r="U10" s="2"/>
      <c r="V10" s="2"/>
      <c r="W10" s="2"/>
      <c r="X10" s="2"/>
      <c r="Y10" s="2"/>
    </row>
    <row r="11">
      <c r="A11" s="5" t="str">
        <f>IFERROR(__xludf.DUMMYFUNCTION("LEFT(A10, 4) &amp; TEXT(VALUE(REGEXEXTRACT(A10, ""\d+"")) + 1, ""0000"")"),"UMB-0009")</f>
        <v>UMB-0009</v>
      </c>
      <c r="B11" s="3" t="s">
        <v>1007</v>
      </c>
      <c r="C11" s="3" t="s">
        <v>1013</v>
      </c>
      <c r="D11" s="2" t="str">
        <f t="shared" si="1"/>
        <v>LOCKSMITH | F</v>
      </c>
      <c r="E11" s="3" t="s">
        <v>20</v>
      </c>
      <c r="F11" s="3" t="s">
        <v>30</v>
      </c>
      <c r="G11" s="3" t="s">
        <v>1009</v>
      </c>
      <c r="H11" s="3" t="s">
        <v>33</v>
      </c>
      <c r="I11" s="3">
        <v>2.0</v>
      </c>
      <c r="J11" s="3" t="s">
        <v>23</v>
      </c>
      <c r="K11" s="3" t="s">
        <v>95</v>
      </c>
      <c r="L11" s="3" t="s">
        <v>195</v>
      </c>
      <c r="M11" s="3" t="s">
        <v>124</v>
      </c>
      <c r="N11" s="3" t="s">
        <v>286</v>
      </c>
      <c r="O11" s="3" t="s">
        <v>287</v>
      </c>
      <c r="P11" s="3" t="s">
        <v>1014</v>
      </c>
      <c r="Q11" s="3" t="s">
        <v>1015</v>
      </c>
      <c r="R11" s="2"/>
      <c r="S11" s="2"/>
      <c r="T11" s="2"/>
      <c r="U11" s="2"/>
      <c r="V11" s="2"/>
      <c r="W11" s="2"/>
      <c r="X11" s="2"/>
      <c r="Y11" s="2"/>
    </row>
    <row r="12">
      <c r="A12" s="5" t="str">
        <f>IFERROR(__xludf.DUMMYFUNCTION("LEFT(A11, 4) &amp; TEXT(VALUE(REGEXEXTRACT(A11, ""\d+"")) + 1, ""0000"")"),"UMB-0010")</f>
        <v>UMB-0010</v>
      </c>
      <c r="B12" s="3" t="s">
        <v>1007</v>
      </c>
      <c r="C12" s="3" t="s">
        <v>1016</v>
      </c>
      <c r="D12" s="2" t="str">
        <f t="shared" si="1"/>
        <v>LOCKMASTER | D</v>
      </c>
      <c r="E12" s="3" t="s">
        <v>76</v>
      </c>
      <c r="F12" s="3" t="s">
        <v>21</v>
      </c>
      <c r="G12" s="3" t="s">
        <v>1009</v>
      </c>
      <c r="H12" s="3" t="s">
        <v>1017</v>
      </c>
      <c r="I12" s="3">
        <v>8.0</v>
      </c>
      <c r="J12" s="3" t="s">
        <v>23</v>
      </c>
      <c r="K12" s="3" t="s">
        <v>95</v>
      </c>
      <c r="L12" s="3" t="s">
        <v>195</v>
      </c>
      <c r="M12" s="3" t="s">
        <v>1018</v>
      </c>
      <c r="N12" s="2"/>
      <c r="O12" s="3" t="s">
        <v>23</v>
      </c>
      <c r="P12" s="3" t="s">
        <v>1019</v>
      </c>
      <c r="Q12" s="3" t="s">
        <v>1020</v>
      </c>
      <c r="R12" s="2"/>
      <c r="S12" s="2"/>
      <c r="T12" s="2"/>
      <c r="U12" s="2"/>
      <c r="V12" s="2"/>
      <c r="W12" s="2"/>
      <c r="X12" s="2"/>
      <c r="Y12" s="2"/>
    </row>
    <row r="13">
      <c r="A13" s="5" t="str">
        <f>IFERROR(__xludf.DUMMYFUNCTION("LEFT(A12, 4) &amp; TEXT(VALUE(REGEXEXTRACT(A12, ""\d+"")) + 1, ""0000"")"),"UMB-0011")</f>
        <v>UMB-0011</v>
      </c>
      <c r="B13" s="3" t="s">
        <v>1007</v>
      </c>
      <c r="C13" s="3" t="s">
        <v>1016</v>
      </c>
      <c r="D13" s="2" t="str">
        <f t="shared" si="1"/>
        <v>LOCKMASTER | D</v>
      </c>
      <c r="E13" s="3" t="s">
        <v>76</v>
      </c>
      <c r="F13" s="3" t="s">
        <v>27</v>
      </c>
      <c r="G13" s="3" t="s">
        <v>1009</v>
      </c>
      <c r="H13" s="3" t="s">
        <v>1017</v>
      </c>
      <c r="I13" s="3">
        <v>8.0</v>
      </c>
      <c r="J13" s="3" t="s">
        <v>23</v>
      </c>
      <c r="K13" s="3" t="s">
        <v>95</v>
      </c>
      <c r="L13" s="3" t="s">
        <v>195</v>
      </c>
      <c r="M13" s="3" t="s">
        <v>1018</v>
      </c>
      <c r="N13" s="2"/>
      <c r="O13" s="3" t="s">
        <v>23</v>
      </c>
      <c r="P13" s="3" t="s">
        <v>1019</v>
      </c>
      <c r="Q13" s="3" t="s">
        <v>1020</v>
      </c>
      <c r="R13" s="2"/>
      <c r="S13" s="2"/>
      <c r="T13" s="2"/>
      <c r="U13" s="2"/>
      <c r="V13" s="2"/>
      <c r="W13" s="2"/>
      <c r="X13" s="2"/>
      <c r="Y13" s="2"/>
    </row>
    <row r="14">
      <c r="A14" s="5" t="str">
        <f>IFERROR(__xludf.DUMMYFUNCTION("LEFT(A13, 4) &amp; TEXT(VALUE(REGEXEXTRACT(A13, ""\d+"")) + 1, ""0000"")"),"UMB-0012")</f>
        <v>UMB-0012</v>
      </c>
      <c r="B14" s="3" t="s">
        <v>1007</v>
      </c>
      <c r="C14" s="3" t="s">
        <v>1016</v>
      </c>
      <c r="D14" s="2" t="str">
        <f t="shared" si="1"/>
        <v>LOCKMASTER | D</v>
      </c>
      <c r="E14" s="3" t="s">
        <v>76</v>
      </c>
      <c r="F14" s="3" t="s">
        <v>28</v>
      </c>
      <c r="G14" s="3" t="s">
        <v>1009</v>
      </c>
      <c r="H14" s="3" t="s">
        <v>1017</v>
      </c>
      <c r="I14" s="3">
        <v>8.0</v>
      </c>
      <c r="J14" s="3" t="s">
        <v>23</v>
      </c>
      <c r="K14" s="3" t="s">
        <v>95</v>
      </c>
      <c r="L14" s="3" t="s">
        <v>195</v>
      </c>
      <c r="M14" s="3" t="s">
        <v>1018</v>
      </c>
      <c r="N14" s="2"/>
      <c r="O14" s="3" t="s">
        <v>23</v>
      </c>
      <c r="P14" s="3" t="s">
        <v>1019</v>
      </c>
      <c r="Q14" s="3" t="s">
        <v>1020</v>
      </c>
      <c r="R14" s="2"/>
      <c r="S14" s="2"/>
      <c r="T14" s="2"/>
      <c r="U14" s="2"/>
      <c r="V14" s="2"/>
      <c r="W14" s="2"/>
      <c r="X14" s="2"/>
      <c r="Y14" s="2"/>
    </row>
    <row r="15">
      <c r="A15" s="5" t="str">
        <f>IFERROR(__xludf.DUMMYFUNCTION("LEFT(A14, 4) &amp; TEXT(VALUE(REGEXEXTRACT(A14, ""\d+"")) + 1, ""0000"")"),"UMB-0013")</f>
        <v>UMB-0013</v>
      </c>
      <c r="B15" s="3" t="s">
        <v>1007</v>
      </c>
      <c r="C15" s="3" t="s">
        <v>1016</v>
      </c>
      <c r="D15" s="2" t="str">
        <f t="shared" si="1"/>
        <v>LOCKMASTER | D</v>
      </c>
      <c r="E15" s="3" t="s">
        <v>76</v>
      </c>
      <c r="F15" s="3" t="s">
        <v>29</v>
      </c>
      <c r="G15" s="3" t="s">
        <v>1009</v>
      </c>
      <c r="H15" s="3" t="s">
        <v>1017</v>
      </c>
      <c r="I15" s="3">
        <v>8.0</v>
      </c>
      <c r="J15" s="3" t="s">
        <v>23</v>
      </c>
      <c r="K15" s="3" t="s">
        <v>95</v>
      </c>
      <c r="L15" s="3" t="s">
        <v>195</v>
      </c>
      <c r="M15" s="3" t="s">
        <v>1018</v>
      </c>
      <c r="N15" s="2"/>
      <c r="O15" s="3" t="s">
        <v>23</v>
      </c>
      <c r="P15" s="3" t="s">
        <v>1019</v>
      </c>
      <c r="Q15" s="3" t="s">
        <v>1020</v>
      </c>
      <c r="R15" s="2"/>
      <c r="S15" s="2"/>
      <c r="T15" s="2"/>
      <c r="U15" s="2"/>
      <c r="V15" s="2"/>
      <c r="W15" s="2"/>
      <c r="X15" s="2"/>
      <c r="Y15" s="2"/>
    </row>
    <row r="16">
      <c r="A16" s="5" t="str">
        <f>IFERROR(__xludf.DUMMYFUNCTION("LEFT(A15, 4) &amp; TEXT(VALUE(REGEXEXTRACT(A15, ""\d+"")) + 1, ""0000"")"),"UMB-0014")</f>
        <v>UMB-0014</v>
      </c>
      <c r="B16" s="3" t="s">
        <v>1007</v>
      </c>
      <c r="C16" s="3" t="s">
        <v>1016</v>
      </c>
      <c r="D16" s="2" t="str">
        <f t="shared" si="1"/>
        <v>LOCKMASTER | D</v>
      </c>
      <c r="E16" s="3" t="s">
        <v>76</v>
      </c>
      <c r="F16" s="3" t="s">
        <v>30</v>
      </c>
      <c r="G16" s="3" t="s">
        <v>1009</v>
      </c>
      <c r="H16" s="3" t="s">
        <v>1017</v>
      </c>
      <c r="I16" s="3">
        <v>8.0</v>
      </c>
      <c r="J16" s="3" t="s">
        <v>23</v>
      </c>
      <c r="K16" s="3" t="s">
        <v>95</v>
      </c>
      <c r="L16" s="3" t="s">
        <v>195</v>
      </c>
      <c r="M16" s="3" t="s">
        <v>1018</v>
      </c>
      <c r="N16" s="2"/>
      <c r="O16" s="3" t="s">
        <v>23</v>
      </c>
      <c r="P16" s="3" t="s">
        <v>1019</v>
      </c>
      <c r="Q16" s="3" t="s">
        <v>1020</v>
      </c>
      <c r="R16" s="2"/>
      <c r="S16" s="2"/>
      <c r="T16" s="2"/>
      <c r="U16" s="2"/>
      <c r="V16" s="2"/>
      <c r="W16" s="2"/>
      <c r="X16" s="2"/>
      <c r="Y16" s="2"/>
    </row>
    <row r="17">
      <c r="A17" s="5" t="str">
        <f>IFERROR(__xludf.DUMMYFUNCTION("LEFT(A16, 4) &amp; TEXT(VALUE(REGEXEXTRACT(A16, ""\d+"")) + 1, ""0000"")"),"UMB-0015")</f>
        <v>UMB-0015</v>
      </c>
      <c r="B17" s="3" t="s">
        <v>1007</v>
      </c>
      <c r="C17" s="3" t="s">
        <v>1021</v>
      </c>
      <c r="D17" s="2" t="str">
        <f t="shared" si="1"/>
        <v>MANIPULAR | M</v>
      </c>
      <c r="E17" s="3" t="s">
        <v>48</v>
      </c>
      <c r="F17" s="3" t="s">
        <v>21</v>
      </c>
      <c r="G17" s="3" t="s">
        <v>1009</v>
      </c>
      <c r="H17" s="3" t="s">
        <v>33</v>
      </c>
      <c r="I17" s="3">
        <v>4.0</v>
      </c>
      <c r="J17" s="3" t="s">
        <v>23</v>
      </c>
      <c r="K17" s="3" t="s">
        <v>95</v>
      </c>
      <c r="L17" s="6" t="s">
        <v>65</v>
      </c>
      <c r="M17" s="3" t="s">
        <v>124</v>
      </c>
      <c r="N17" s="3" t="s">
        <v>406</v>
      </c>
      <c r="O17" s="3" t="s">
        <v>23</v>
      </c>
      <c r="P17" s="3" t="s">
        <v>1022</v>
      </c>
      <c r="Q17" s="3" t="s">
        <v>1023</v>
      </c>
      <c r="R17" s="2"/>
      <c r="S17" s="2"/>
      <c r="T17" s="2"/>
      <c r="U17" s="2"/>
      <c r="V17" s="2"/>
      <c r="W17" s="2"/>
      <c r="X17" s="2"/>
      <c r="Y17" s="2"/>
    </row>
    <row r="18">
      <c r="A18" s="5" t="str">
        <f>IFERROR(__xludf.DUMMYFUNCTION("LEFT(A17, 4) &amp; TEXT(VALUE(REGEXEXTRACT(A17, ""\d+"")) + 1, ""0000"")"),"UMB-0016")</f>
        <v>UMB-0016</v>
      </c>
      <c r="B18" s="3" t="s">
        <v>1007</v>
      </c>
      <c r="C18" s="3" t="s">
        <v>1021</v>
      </c>
      <c r="D18" s="2" t="str">
        <f t="shared" si="1"/>
        <v>MANIPULAR | M</v>
      </c>
      <c r="E18" s="3" t="s">
        <v>48</v>
      </c>
      <c r="F18" s="3" t="s">
        <v>27</v>
      </c>
      <c r="G18" s="3" t="s">
        <v>1009</v>
      </c>
      <c r="H18" s="3" t="s">
        <v>33</v>
      </c>
      <c r="I18" s="3">
        <v>4.0</v>
      </c>
      <c r="J18" s="3" t="s">
        <v>23</v>
      </c>
      <c r="K18" s="3" t="s">
        <v>95</v>
      </c>
      <c r="L18" s="6" t="s">
        <v>35</v>
      </c>
      <c r="M18" s="3" t="s">
        <v>124</v>
      </c>
      <c r="N18" s="3" t="s">
        <v>408</v>
      </c>
      <c r="O18" s="3" t="s">
        <v>23</v>
      </c>
      <c r="P18" s="3" t="s">
        <v>1022</v>
      </c>
      <c r="Q18" s="3" t="s">
        <v>1023</v>
      </c>
      <c r="R18" s="2"/>
      <c r="S18" s="2"/>
      <c r="T18" s="2"/>
      <c r="U18" s="2"/>
      <c r="V18" s="2"/>
      <c r="W18" s="2"/>
      <c r="X18" s="2"/>
      <c r="Y18" s="2"/>
    </row>
    <row r="19">
      <c r="A19" s="5" t="str">
        <f>IFERROR(__xludf.DUMMYFUNCTION("LEFT(A18, 4) &amp; TEXT(VALUE(REGEXEXTRACT(A18, ""\d+"")) + 1, ""0000"")"),"UMB-0017")</f>
        <v>UMB-0017</v>
      </c>
      <c r="B19" s="3" t="s">
        <v>1007</v>
      </c>
      <c r="C19" s="3" t="s">
        <v>1021</v>
      </c>
      <c r="D19" s="2" t="str">
        <f t="shared" si="1"/>
        <v>MANIPULAR | M</v>
      </c>
      <c r="E19" s="3" t="s">
        <v>48</v>
      </c>
      <c r="F19" s="3" t="s">
        <v>28</v>
      </c>
      <c r="G19" s="3" t="s">
        <v>1009</v>
      </c>
      <c r="H19" s="3" t="s">
        <v>33</v>
      </c>
      <c r="I19" s="3">
        <v>4.0</v>
      </c>
      <c r="J19" s="3" t="s">
        <v>23</v>
      </c>
      <c r="K19" s="3" t="s">
        <v>95</v>
      </c>
      <c r="L19" s="6" t="s">
        <v>70</v>
      </c>
      <c r="M19" s="3" t="s">
        <v>124</v>
      </c>
      <c r="N19" s="3" t="s">
        <v>410</v>
      </c>
      <c r="O19" s="3" t="s">
        <v>23</v>
      </c>
      <c r="P19" s="3" t="s">
        <v>1022</v>
      </c>
      <c r="Q19" s="3" t="s">
        <v>1023</v>
      </c>
      <c r="R19" s="2"/>
      <c r="S19" s="2"/>
      <c r="T19" s="2"/>
      <c r="U19" s="2"/>
      <c r="V19" s="2"/>
      <c r="W19" s="2"/>
      <c r="X19" s="2"/>
      <c r="Y19" s="2"/>
    </row>
    <row r="20">
      <c r="A20" s="5" t="str">
        <f>IFERROR(__xludf.DUMMYFUNCTION("LEFT(A19, 4) &amp; TEXT(VALUE(REGEXEXTRACT(A19, ""\d+"")) + 1, ""0000"")"),"UMB-0018")</f>
        <v>UMB-0018</v>
      </c>
      <c r="B20" s="3" t="s">
        <v>1007</v>
      </c>
      <c r="C20" s="3" t="s">
        <v>1021</v>
      </c>
      <c r="D20" s="2" t="str">
        <f t="shared" si="1"/>
        <v>MANIPULAR | M</v>
      </c>
      <c r="E20" s="3" t="s">
        <v>48</v>
      </c>
      <c r="F20" s="3" t="s">
        <v>29</v>
      </c>
      <c r="G20" s="3" t="s">
        <v>1009</v>
      </c>
      <c r="H20" s="3" t="s">
        <v>33</v>
      </c>
      <c r="I20" s="3">
        <v>4.0</v>
      </c>
      <c r="J20" s="3" t="s">
        <v>23</v>
      </c>
      <c r="K20" s="3" t="s">
        <v>95</v>
      </c>
      <c r="L20" s="6" t="s">
        <v>72</v>
      </c>
      <c r="M20" s="3" t="s">
        <v>124</v>
      </c>
      <c r="N20" s="3" t="s">
        <v>412</v>
      </c>
      <c r="O20" s="3" t="s">
        <v>23</v>
      </c>
      <c r="P20" s="3" t="s">
        <v>1022</v>
      </c>
      <c r="Q20" s="3" t="s">
        <v>1023</v>
      </c>
      <c r="R20" s="2"/>
      <c r="S20" s="2"/>
      <c r="T20" s="2"/>
      <c r="U20" s="2"/>
      <c r="V20" s="2"/>
      <c r="W20" s="2"/>
      <c r="X20" s="2"/>
      <c r="Y20" s="2"/>
    </row>
    <row r="21">
      <c r="A21" s="5" t="str">
        <f>IFERROR(__xludf.DUMMYFUNCTION("LEFT(A20, 4) &amp; TEXT(VALUE(REGEXEXTRACT(A20, ""\d+"")) + 1, ""0000"")"),"UMB-0019")</f>
        <v>UMB-0019</v>
      </c>
      <c r="B21" s="3" t="s">
        <v>1007</v>
      </c>
      <c r="C21" s="3" t="s">
        <v>1021</v>
      </c>
      <c r="D21" s="2" t="str">
        <f t="shared" si="1"/>
        <v>MANIPULAR | M</v>
      </c>
      <c r="E21" s="3" t="s">
        <v>48</v>
      </c>
      <c r="F21" s="3" t="s">
        <v>30</v>
      </c>
      <c r="G21" s="3" t="s">
        <v>1009</v>
      </c>
      <c r="H21" s="3" t="s">
        <v>33</v>
      </c>
      <c r="I21" s="3">
        <v>4.0</v>
      </c>
      <c r="J21" s="3" t="s">
        <v>23</v>
      </c>
      <c r="K21" s="3" t="s">
        <v>95</v>
      </c>
      <c r="L21" s="6" t="s">
        <v>39</v>
      </c>
      <c r="M21" s="3" t="s">
        <v>124</v>
      </c>
      <c r="N21" s="3" t="s">
        <v>353</v>
      </c>
      <c r="O21" s="3" t="s">
        <v>23</v>
      </c>
      <c r="P21" s="3" t="s">
        <v>1022</v>
      </c>
      <c r="Q21" s="3" t="s">
        <v>1023</v>
      </c>
      <c r="R21" s="2"/>
      <c r="S21" s="2"/>
      <c r="T21" s="2"/>
      <c r="U21" s="2"/>
      <c r="V21" s="2"/>
      <c r="W21" s="2"/>
      <c r="X21" s="2"/>
      <c r="Y21" s="2"/>
    </row>
    <row r="22">
      <c r="A22" s="5" t="str">
        <f>IFERROR(__xludf.DUMMYFUNCTION("LEFT(A21, 4) &amp; TEXT(VALUE(REGEXEXTRACT(A21, ""\d+"")) + 1, ""0000"")"),"UMB-0020")</f>
        <v>UMB-0020</v>
      </c>
      <c r="B22" s="3" t="s">
        <v>1007</v>
      </c>
      <c r="C22" s="3" t="s">
        <v>1024</v>
      </c>
      <c r="D22" s="2" t="str">
        <f t="shared" si="1"/>
        <v>UNDO | M</v>
      </c>
      <c r="E22" s="3" t="s">
        <v>48</v>
      </c>
      <c r="F22" s="3" t="s">
        <v>21</v>
      </c>
      <c r="G22" s="3" t="s">
        <v>1009</v>
      </c>
      <c r="H22" s="3" t="s">
        <v>33</v>
      </c>
      <c r="I22" s="3">
        <v>4.0</v>
      </c>
      <c r="J22" s="3" t="s">
        <v>23</v>
      </c>
      <c r="K22" s="3" t="s">
        <v>95</v>
      </c>
      <c r="L22" s="6" t="s">
        <v>65</v>
      </c>
      <c r="M22" s="3" t="s">
        <v>124</v>
      </c>
      <c r="N22" s="3" t="s">
        <v>406</v>
      </c>
      <c r="O22" s="3" t="s">
        <v>23</v>
      </c>
      <c r="P22" s="3" t="s">
        <v>1025</v>
      </c>
      <c r="Q22" s="2"/>
      <c r="R22" s="2"/>
      <c r="S22" s="2"/>
      <c r="T22" s="2"/>
      <c r="U22" s="2"/>
      <c r="V22" s="2"/>
      <c r="W22" s="2"/>
      <c r="X22" s="2"/>
      <c r="Y22" s="2"/>
    </row>
    <row r="23">
      <c r="A23" s="5" t="str">
        <f>IFERROR(__xludf.DUMMYFUNCTION("LEFT(A22, 4) &amp; TEXT(VALUE(REGEXEXTRACT(A22, ""\d+"")) + 1, ""0000"")"),"UMB-0021")</f>
        <v>UMB-0021</v>
      </c>
      <c r="B23" s="3" t="s">
        <v>1007</v>
      </c>
      <c r="C23" s="3" t="s">
        <v>1024</v>
      </c>
      <c r="D23" s="2" t="str">
        <f t="shared" si="1"/>
        <v>UNDO | M</v>
      </c>
      <c r="E23" s="3" t="s">
        <v>48</v>
      </c>
      <c r="F23" s="3" t="s">
        <v>27</v>
      </c>
      <c r="G23" s="3" t="s">
        <v>1009</v>
      </c>
      <c r="H23" s="3" t="s">
        <v>33</v>
      </c>
      <c r="I23" s="3">
        <v>4.0</v>
      </c>
      <c r="J23" s="3" t="s">
        <v>23</v>
      </c>
      <c r="K23" s="3" t="s">
        <v>95</v>
      </c>
      <c r="L23" s="6" t="s">
        <v>35</v>
      </c>
      <c r="M23" s="3" t="s">
        <v>124</v>
      </c>
      <c r="N23" s="3" t="s">
        <v>408</v>
      </c>
      <c r="O23" s="3" t="s">
        <v>23</v>
      </c>
      <c r="P23" s="3" t="s">
        <v>1025</v>
      </c>
      <c r="Q23" s="2"/>
      <c r="R23" s="2"/>
      <c r="S23" s="2"/>
      <c r="T23" s="2"/>
      <c r="U23" s="2"/>
      <c r="V23" s="2"/>
      <c r="W23" s="2"/>
      <c r="X23" s="2"/>
      <c r="Y23" s="2"/>
    </row>
    <row r="24">
      <c r="A24" s="5" t="str">
        <f>IFERROR(__xludf.DUMMYFUNCTION("LEFT(A23, 4) &amp; TEXT(VALUE(REGEXEXTRACT(A23, ""\d+"")) + 1, ""0000"")"),"UMB-0022")</f>
        <v>UMB-0022</v>
      </c>
      <c r="B24" s="3" t="s">
        <v>1007</v>
      </c>
      <c r="C24" s="3" t="s">
        <v>1024</v>
      </c>
      <c r="D24" s="2" t="str">
        <f t="shared" si="1"/>
        <v>UNDO | M</v>
      </c>
      <c r="E24" s="3" t="s">
        <v>48</v>
      </c>
      <c r="F24" s="3" t="s">
        <v>28</v>
      </c>
      <c r="G24" s="3" t="s">
        <v>1009</v>
      </c>
      <c r="H24" s="3" t="s">
        <v>33</v>
      </c>
      <c r="I24" s="3">
        <v>4.0</v>
      </c>
      <c r="J24" s="3" t="s">
        <v>23</v>
      </c>
      <c r="K24" s="3" t="s">
        <v>95</v>
      </c>
      <c r="L24" s="6" t="s">
        <v>70</v>
      </c>
      <c r="M24" s="3" t="s">
        <v>124</v>
      </c>
      <c r="N24" s="3" t="s">
        <v>410</v>
      </c>
      <c r="O24" s="3" t="s">
        <v>23</v>
      </c>
      <c r="P24" s="3" t="s">
        <v>1025</v>
      </c>
      <c r="Q24" s="2"/>
      <c r="R24" s="2"/>
      <c r="S24" s="2"/>
      <c r="T24" s="2"/>
      <c r="U24" s="2"/>
      <c r="V24" s="2"/>
      <c r="W24" s="2"/>
      <c r="X24" s="2"/>
      <c r="Y24" s="2"/>
    </row>
    <row r="25">
      <c r="A25" s="5" t="str">
        <f>IFERROR(__xludf.DUMMYFUNCTION("LEFT(A24, 4) &amp; TEXT(VALUE(REGEXEXTRACT(A24, ""\d+"")) + 1, ""0000"")"),"UMB-0023")</f>
        <v>UMB-0023</v>
      </c>
      <c r="B25" s="3" t="s">
        <v>1007</v>
      </c>
      <c r="C25" s="3" t="s">
        <v>1024</v>
      </c>
      <c r="D25" s="2" t="str">
        <f t="shared" si="1"/>
        <v>UNDO | M</v>
      </c>
      <c r="E25" s="3" t="s">
        <v>48</v>
      </c>
      <c r="F25" s="3" t="s">
        <v>29</v>
      </c>
      <c r="G25" s="3" t="s">
        <v>1009</v>
      </c>
      <c r="H25" s="3" t="s">
        <v>33</v>
      </c>
      <c r="I25" s="3">
        <v>4.0</v>
      </c>
      <c r="J25" s="3" t="s">
        <v>23</v>
      </c>
      <c r="K25" s="3" t="s">
        <v>95</v>
      </c>
      <c r="L25" s="6" t="s">
        <v>72</v>
      </c>
      <c r="M25" s="3" t="s">
        <v>124</v>
      </c>
      <c r="N25" s="3" t="s">
        <v>412</v>
      </c>
      <c r="O25" s="3" t="s">
        <v>23</v>
      </c>
      <c r="P25" s="3" t="s">
        <v>1025</v>
      </c>
      <c r="Q25" s="2"/>
      <c r="R25" s="2"/>
      <c r="S25" s="2"/>
      <c r="T25" s="2"/>
      <c r="U25" s="2"/>
      <c r="V25" s="2"/>
      <c r="W25" s="2"/>
      <c r="X25" s="2"/>
      <c r="Y25" s="2"/>
    </row>
    <row r="26">
      <c r="A26" s="5" t="str">
        <f>IFERROR(__xludf.DUMMYFUNCTION("LEFT(A25, 4) &amp; TEXT(VALUE(REGEXEXTRACT(A25, ""\d+"")) + 1, ""0000"")"),"UMB-0024")</f>
        <v>UMB-0024</v>
      </c>
      <c r="B26" s="3" t="s">
        <v>1007</v>
      </c>
      <c r="C26" s="3" t="s">
        <v>1024</v>
      </c>
      <c r="D26" s="2" t="str">
        <f t="shared" si="1"/>
        <v>UNDO | M</v>
      </c>
      <c r="E26" s="3" t="s">
        <v>48</v>
      </c>
      <c r="F26" s="3" t="s">
        <v>30</v>
      </c>
      <c r="G26" s="3" t="s">
        <v>1009</v>
      </c>
      <c r="H26" s="3" t="s">
        <v>33</v>
      </c>
      <c r="I26" s="3">
        <v>4.0</v>
      </c>
      <c r="J26" s="3" t="s">
        <v>23</v>
      </c>
      <c r="K26" s="3" t="s">
        <v>95</v>
      </c>
      <c r="L26" s="6" t="s">
        <v>39</v>
      </c>
      <c r="M26" s="3" t="s">
        <v>124</v>
      </c>
      <c r="N26" s="3" t="s">
        <v>353</v>
      </c>
      <c r="O26" s="3" t="s">
        <v>23</v>
      </c>
      <c r="P26" s="3" t="s">
        <v>1025</v>
      </c>
      <c r="Q26" s="2"/>
      <c r="R26" s="2"/>
      <c r="S26" s="2"/>
      <c r="T26" s="2"/>
      <c r="U26" s="2"/>
      <c r="V26" s="2"/>
      <c r="W26" s="2"/>
      <c r="X26" s="2"/>
      <c r="Y26" s="2"/>
    </row>
    <row r="27">
      <c r="A27" s="5" t="str">
        <f>IFERROR(__xludf.DUMMYFUNCTION("LEFT(A26, 4) &amp; TEXT(VALUE(REGEXEXTRACT(A26, ""\d+"")) + 1, ""0000"")"),"UMB-0025")</f>
        <v>UMB-0025</v>
      </c>
      <c r="B27" s="3" t="s">
        <v>1007</v>
      </c>
      <c r="C27" s="3" t="s">
        <v>1026</v>
      </c>
      <c r="D27" s="2" t="str">
        <f t="shared" si="1"/>
        <v>FACA ALADA | F</v>
      </c>
      <c r="E27" s="3" t="s">
        <v>20</v>
      </c>
      <c r="F27" s="3" t="s">
        <v>21</v>
      </c>
      <c r="G27" s="3" t="s">
        <v>1009</v>
      </c>
      <c r="H27" s="3" t="s">
        <v>33</v>
      </c>
      <c r="I27" s="3">
        <v>2.0</v>
      </c>
      <c r="J27" s="3" t="s">
        <v>23</v>
      </c>
      <c r="K27" s="3" t="s">
        <v>303</v>
      </c>
      <c r="L27" s="6" t="s">
        <v>65</v>
      </c>
      <c r="M27" s="3" t="s">
        <v>66</v>
      </c>
      <c r="N27" s="3" t="s">
        <v>406</v>
      </c>
      <c r="O27" s="3" t="s">
        <v>117</v>
      </c>
      <c r="P27" s="3" t="s">
        <v>1027</v>
      </c>
      <c r="Q27" s="3" t="s">
        <v>1028</v>
      </c>
      <c r="R27" s="2"/>
      <c r="S27" s="2"/>
      <c r="T27" s="2"/>
      <c r="U27" s="2"/>
      <c r="V27" s="2"/>
      <c r="W27" s="2"/>
      <c r="X27" s="2"/>
      <c r="Y27" s="2"/>
    </row>
    <row r="28">
      <c r="A28" s="5" t="str">
        <f>IFERROR(__xludf.DUMMYFUNCTION("LEFT(A27, 4) &amp; TEXT(VALUE(REGEXEXTRACT(A27, ""\d+"")) + 1, ""0000"")"),"UMB-0026")</f>
        <v>UMB-0026</v>
      </c>
      <c r="B28" s="3" t="s">
        <v>1007</v>
      </c>
      <c r="C28" s="3" t="s">
        <v>1026</v>
      </c>
      <c r="D28" s="2" t="str">
        <f t="shared" si="1"/>
        <v>FACA ALADA | F</v>
      </c>
      <c r="E28" s="3" t="s">
        <v>20</v>
      </c>
      <c r="F28" s="3" t="s">
        <v>27</v>
      </c>
      <c r="G28" s="3" t="s">
        <v>1009</v>
      </c>
      <c r="H28" s="3" t="s">
        <v>33</v>
      </c>
      <c r="I28" s="3">
        <v>2.0</v>
      </c>
      <c r="J28" s="3" t="s">
        <v>23</v>
      </c>
      <c r="K28" s="3" t="s">
        <v>303</v>
      </c>
      <c r="L28" s="6" t="s">
        <v>35</v>
      </c>
      <c r="M28" s="3" t="s">
        <v>66</v>
      </c>
      <c r="N28" s="3" t="s">
        <v>408</v>
      </c>
      <c r="O28" s="3" t="s">
        <v>117</v>
      </c>
      <c r="P28" s="3" t="s">
        <v>1027</v>
      </c>
      <c r="Q28" s="3" t="s">
        <v>1028</v>
      </c>
      <c r="R28" s="2"/>
      <c r="S28" s="2"/>
      <c r="T28" s="2"/>
      <c r="U28" s="2"/>
      <c r="V28" s="2"/>
      <c r="W28" s="2"/>
      <c r="X28" s="2"/>
      <c r="Y28" s="2"/>
    </row>
    <row r="29">
      <c r="A29" s="5" t="str">
        <f>IFERROR(__xludf.DUMMYFUNCTION("LEFT(A28, 4) &amp; TEXT(VALUE(REGEXEXTRACT(A28, ""\d+"")) + 1, ""0000"")"),"UMB-0027")</f>
        <v>UMB-0027</v>
      </c>
      <c r="B29" s="3" t="s">
        <v>1007</v>
      </c>
      <c r="C29" s="3" t="s">
        <v>1026</v>
      </c>
      <c r="D29" s="2" t="str">
        <f t="shared" si="1"/>
        <v>FACA ALADA | F</v>
      </c>
      <c r="E29" s="3" t="s">
        <v>20</v>
      </c>
      <c r="F29" s="3" t="s">
        <v>28</v>
      </c>
      <c r="G29" s="3" t="s">
        <v>1009</v>
      </c>
      <c r="H29" s="3" t="s">
        <v>33</v>
      </c>
      <c r="I29" s="3">
        <v>2.0</v>
      </c>
      <c r="J29" s="3" t="s">
        <v>23</v>
      </c>
      <c r="K29" s="3" t="s">
        <v>303</v>
      </c>
      <c r="L29" s="6" t="s">
        <v>70</v>
      </c>
      <c r="M29" s="3" t="s">
        <v>66</v>
      </c>
      <c r="N29" s="3" t="s">
        <v>410</v>
      </c>
      <c r="O29" s="3" t="s">
        <v>117</v>
      </c>
      <c r="P29" s="3" t="s">
        <v>1027</v>
      </c>
      <c r="Q29" s="3" t="s">
        <v>1028</v>
      </c>
      <c r="R29" s="2"/>
      <c r="S29" s="2"/>
      <c r="T29" s="2"/>
      <c r="U29" s="2"/>
      <c r="V29" s="2"/>
      <c r="W29" s="2"/>
      <c r="X29" s="2"/>
      <c r="Y29" s="2"/>
    </row>
    <row r="30">
      <c r="A30" s="5" t="str">
        <f>IFERROR(__xludf.DUMMYFUNCTION("LEFT(A29, 4) &amp; TEXT(VALUE(REGEXEXTRACT(A29, ""\d+"")) + 1, ""0000"")"),"UMB-0028")</f>
        <v>UMB-0028</v>
      </c>
      <c r="B30" s="3" t="s">
        <v>1007</v>
      </c>
      <c r="C30" s="3" t="s">
        <v>1026</v>
      </c>
      <c r="D30" s="2" t="str">
        <f t="shared" si="1"/>
        <v>FACA ALADA | F</v>
      </c>
      <c r="E30" s="3" t="s">
        <v>20</v>
      </c>
      <c r="F30" s="3" t="s">
        <v>29</v>
      </c>
      <c r="G30" s="3" t="s">
        <v>1009</v>
      </c>
      <c r="H30" s="3" t="s">
        <v>33</v>
      </c>
      <c r="I30" s="3">
        <v>2.0</v>
      </c>
      <c r="J30" s="3" t="s">
        <v>23</v>
      </c>
      <c r="K30" s="3" t="s">
        <v>303</v>
      </c>
      <c r="L30" s="6" t="s">
        <v>72</v>
      </c>
      <c r="M30" s="3" t="s">
        <v>66</v>
      </c>
      <c r="N30" s="3" t="s">
        <v>412</v>
      </c>
      <c r="O30" s="3" t="s">
        <v>117</v>
      </c>
      <c r="P30" s="3" t="s">
        <v>1027</v>
      </c>
      <c r="Q30" s="3" t="s">
        <v>1028</v>
      </c>
      <c r="R30" s="2"/>
      <c r="S30" s="2"/>
      <c r="T30" s="2"/>
      <c r="U30" s="2"/>
      <c r="V30" s="2"/>
      <c r="W30" s="2"/>
      <c r="X30" s="2"/>
      <c r="Y30" s="2"/>
    </row>
    <row r="31">
      <c r="A31" s="5" t="str">
        <f>IFERROR(__xludf.DUMMYFUNCTION("LEFT(A30, 4) &amp; TEXT(VALUE(REGEXEXTRACT(A30, ""\d+"")) + 1, ""0000"")"),"UMB-0029")</f>
        <v>UMB-0029</v>
      </c>
      <c r="B31" s="3" t="s">
        <v>1007</v>
      </c>
      <c r="C31" s="3" t="s">
        <v>1026</v>
      </c>
      <c r="D31" s="2" t="str">
        <f t="shared" si="1"/>
        <v>FACA ALADA | F</v>
      </c>
      <c r="E31" s="3" t="s">
        <v>20</v>
      </c>
      <c r="F31" s="3" t="s">
        <v>30</v>
      </c>
      <c r="G31" s="3" t="s">
        <v>1009</v>
      </c>
      <c r="H31" s="3" t="s">
        <v>33</v>
      </c>
      <c r="I31" s="3">
        <v>2.0</v>
      </c>
      <c r="J31" s="3" t="s">
        <v>23</v>
      </c>
      <c r="K31" s="3" t="s">
        <v>303</v>
      </c>
      <c r="L31" s="6" t="s">
        <v>39</v>
      </c>
      <c r="M31" s="3" t="s">
        <v>66</v>
      </c>
      <c r="N31" s="3" t="s">
        <v>353</v>
      </c>
      <c r="O31" s="3" t="s">
        <v>117</v>
      </c>
      <c r="P31" s="3" t="s">
        <v>1027</v>
      </c>
      <c r="Q31" s="3" t="s">
        <v>1028</v>
      </c>
      <c r="R31" s="2"/>
      <c r="S31" s="2"/>
      <c r="T31" s="2"/>
      <c r="U31" s="2"/>
      <c r="V31" s="2"/>
      <c r="W31" s="2"/>
      <c r="X31" s="2"/>
      <c r="Y31" s="2"/>
    </row>
    <row r="32">
      <c r="A32" s="5" t="str">
        <f>IFERROR(__xludf.DUMMYFUNCTION("LEFT(A31, 4) &amp; TEXT(VALUE(REGEXEXTRACT(A31, ""\d+"")) + 1, ""0000"")"),"UMB-0030")</f>
        <v>UMB-0030</v>
      </c>
      <c r="B32" s="3" t="s">
        <v>1007</v>
      </c>
      <c r="C32" s="3" t="s">
        <v>1029</v>
      </c>
      <c r="D32" s="2" t="str">
        <f t="shared" si="1"/>
        <v>LIBERDADE | D</v>
      </c>
      <c r="E32" s="3" t="s">
        <v>76</v>
      </c>
      <c r="F32" s="3" t="s">
        <v>21</v>
      </c>
      <c r="G32" s="3" t="s">
        <v>1009</v>
      </c>
      <c r="H32" s="3" t="s">
        <v>33</v>
      </c>
      <c r="I32" s="3">
        <v>8.0</v>
      </c>
      <c r="J32" s="3" t="s">
        <v>23</v>
      </c>
      <c r="K32" s="3" t="s">
        <v>95</v>
      </c>
      <c r="L32" s="6" t="s">
        <v>65</v>
      </c>
      <c r="M32" s="3" t="s">
        <v>124</v>
      </c>
      <c r="N32" s="3" t="s">
        <v>330</v>
      </c>
      <c r="O32" s="3" t="s">
        <v>126</v>
      </c>
      <c r="P32" s="3" t="s">
        <v>1030</v>
      </c>
      <c r="Q32" s="3" t="s">
        <v>1031</v>
      </c>
      <c r="R32" s="2"/>
      <c r="S32" s="2"/>
      <c r="T32" s="2"/>
      <c r="U32" s="2"/>
      <c r="V32" s="2"/>
      <c r="W32" s="2"/>
      <c r="X32" s="2"/>
      <c r="Y32" s="2"/>
    </row>
    <row r="33">
      <c r="A33" s="5" t="str">
        <f>IFERROR(__xludf.DUMMYFUNCTION("LEFT(A32, 4) &amp; TEXT(VALUE(REGEXEXTRACT(A32, ""\d+"")) + 1, ""0000"")"),"UMB-0031")</f>
        <v>UMB-0031</v>
      </c>
      <c r="B33" s="3" t="s">
        <v>1007</v>
      </c>
      <c r="C33" s="3" t="s">
        <v>1029</v>
      </c>
      <c r="D33" s="2" t="str">
        <f t="shared" si="1"/>
        <v>LIBERDADE | D</v>
      </c>
      <c r="E33" s="3" t="s">
        <v>76</v>
      </c>
      <c r="F33" s="3" t="s">
        <v>27</v>
      </c>
      <c r="G33" s="3" t="s">
        <v>1009</v>
      </c>
      <c r="H33" s="3" t="s">
        <v>33</v>
      </c>
      <c r="I33" s="3">
        <v>8.0</v>
      </c>
      <c r="J33" s="3" t="s">
        <v>23</v>
      </c>
      <c r="K33" s="3" t="s">
        <v>95</v>
      </c>
      <c r="L33" s="6" t="s">
        <v>35</v>
      </c>
      <c r="M33" s="3" t="s">
        <v>124</v>
      </c>
      <c r="N33" s="3" t="s">
        <v>333</v>
      </c>
      <c r="O33" s="3" t="s">
        <v>126</v>
      </c>
      <c r="P33" s="3" t="s">
        <v>1030</v>
      </c>
      <c r="Q33" s="3" t="s">
        <v>1031</v>
      </c>
      <c r="R33" s="2"/>
      <c r="S33" s="2"/>
      <c r="T33" s="2"/>
      <c r="U33" s="2"/>
      <c r="V33" s="2"/>
      <c r="W33" s="2"/>
      <c r="X33" s="2"/>
      <c r="Y33" s="2"/>
    </row>
    <row r="34">
      <c r="A34" s="5" t="str">
        <f>IFERROR(__xludf.DUMMYFUNCTION("LEFT(A33, 4) &amp; TEXT(VALUE(REGEXEXTRACT(A33, ""\d+"")) + 1, ""0000"")"),"UMB-0032")</f>
        <v>UMB-0032</v>
      </c>
      <c r="B34" s="3" t="s">
        <v>1007</v>
      </c>
      <c r="C34" s="3" t="s">
        <v>1029</v>
      </c>
      <c r="D34" s="2" t="str">
        <f t="shared" si="1"/>
        <v>LIBERDADE | D</v>
      </c>
      <c r="E34" s="3" t="s">
        <v>76</v>
      </c>
      <c r="F34" s="3" t="s">
        <v>28</v>
      </c>
      <c r="G34" s="3" t="s">
        <v>1009</v>
      </c>
      <c r="H34" s="3" t="s">
        <v>33</v>
      </c>
      <c r="I34" s="3">
        <v>8.0</v>
      </c>
      <c r="J34" s="3" t="s">
        <v>23</v>
      </c>
      <c r="K34" s="3" t="s">
        <v>95</v>
      </c>
      <c r="L34" s="6" t="s">
        <v>70</v>
      </c>
      <c r="M34" s="3" t="s">
        <v>124</v>
      </c>
      <c r="N34" s="3" t="s">
        <v>335</v>
      </c>
      <c r="O34" s="3" t="s">
        <v>131</v>
      </c>
      <c r="P34" s="3" t="s">
        <v>1030</v>
      </c>
      <c r="Q34" s="3" t="s">
        <v>1031</v>
      </c>
      <c r="R34" s="2"/>
      <c r="S34" s="2"/>
      <c r="T34" s="2"/>
      <c r="U34" s="2"/>
      <c r="V34" s="2"/>
      <c r="W34" s="2"/>
      <c r="X34" s="2"/>
      <c r="Y34" s="2"/>
    </row>
    <row r="35">
      <c r="A35" s="5" t="str">
        <f>IFERROR(__xludf.DUMMYFUNCTION("LEFT(A34, 4) &amp; TEXT(VALUE(REGEXEXTRACT(A34, ""\d+"")) + 1, ""0000"")"),"UMB-0033")</f>
        <v>UMB-0033</v>
      </c>
      <c r="B35" s="3" t="s">
        <v>1007</v>
      </c>
      <c r="C35" s="3" t="s">
        <v>1029</v>
      </c>
      <c r="D35" s="2" t="str">
        <f t="shared" si="1"/>
        <v>LIBERDADE | D</v>
      </c>
      <c r="E35" s="3" t="s">
        <v>76</v>
      </c>
      <c r="F35" s="3" t="s">
        <v>29</v>
      </c>
      <c r="G35" s="3" t="s">
        <v>1009</v>
      </c>
      <c r="H35" s="3" t="s">
        <v>33</v>
      </c>
      <c r="I35" s="3">
        <v>8.0</v>
      </c>
      <c r="J35" s="3" t="s">
        <v>23</v>
      </c>
      <c r="K35" s="3" t="s">
        <v>95</v>
      </c>
      <c r="L35" s="6" t="s">
        <v>72</v>
      </c>
      <c r="M35" s="3" t="s">
        <v>124</v>
      </c>
      <c r="N35" s="3" t="s">
        <v>337</v>
      </c>
      <c r="O35" s="3" t="s">
        <v>131</v>
      </c>
      <c r="P35" s="3" t="s">
        <v>1030</v>
      </c>
      <c r="Q35" s="3" t="s">
        <v>1031</v>
      </c>
      <c r="R35" s="2"/>
      <c r="S35" s="2"/>
      <c r="T35" s="2"/>
      <c r="U35" s="2"/>
      <c r="V35" s="2"/>
      <c r="W35" s="2"/>
      <c r="X35" s="2"/>
      <c r="Y35" s="2"/>
    </row>
    <row r="36">
      <c r="A36" s="5" t="str">
        <f>IFERROR(__xludf.DUMMYFUNCTION("LEFT(A35, 4) &amp; TEXT(VALUE(REGEXEXTRACT(A35, ""\d+"")) + 1, ""0000"")"),"UMB-0034")</f>
        <v>UMB-0034</v>
      </c>
      <c r="B36" s="3" t="s">
        <v>1007</v>
      </c>
      <c r="C36" s="3" t="s">
        <v>1029</v>
      </c>
      <c r="D36" s="2" t="str">
        <f t="shared" si="1"/>
        <v>LIBERDADE | D</v>
      </c>
      <c r="E36" s="3" t="s">
        <v>76</v>
      </c>
      <c r="F36" s="3" t="s">
        <v>30</v>
      </c>
      <c r="G36" s="3" t="s">
        <v>1009</v>
      </c>
      <c r="H36" s="3" t="s">
        <v>33</v>
      </c>
      <c r="I36" s="3">
        <v>8.0</v>
      </c>
      <c r="J36" s="3" t="s">
        <v>23</v>
      </c>
      <c r="K36" s="3" t="s">
        <v>95</v>
      </c>
      <c r="L36" s="6" t="s">
        <v>39</v>
      </c>
      <c r="M36" s="3" t="s">
        <v>124</v>
      </c>
      <c r="N36" s="3" t="s">
        <v>339</v>
      </c>
      <c r="O36" s="3" t="s">
        <v>136</v>
      </c>
      <c r="P36" s="3" t="s">
        <v>1030</v>
      </c>
      <c r="Q36" s="3" t="s">
        <v>1031</v>
      </c>
      <c r="R36" s="2"/>
      <c r="S36" s="2"/>
      <c r="T36" s="2"/>
      <c r="U36" s="2"/>
      <c r="V36" s="2"/>
      <c r="W36" s="2"/>
      <c r="X36" s="2"/>
      <c r="Y36" s="2"/>
    </row>
    <row r="37">
      <c r="A37" s="5" t="str">
        <f>IFERROR(__xludf.DUMMYFUNCTION("LEFT(A36, 4) &amp; TEXT(VALUE(REGEXEXTRACT(A36, ""\d+"")) + 1, ""0000"")"),"UMB-0035")</f>
        <v>UMB-0035</v>
      </c>
      <c r="B37" s="3" t="s">
        <v>1007</v>
      </c>
      <c r="C37" s="3" t="s">
        <v>1032</v>
      </c>
      <c r="D37" s="2" t="str">
        <f t="shared" si="1"/>
        <v>MOLDAR SOMBRAS | F</v>
      </c>
      <c r="E37" s="3" t="s">
        <v>20</v>
      </c>
      <c r="F37" s="3" t="s">
        <v>21</v>
      </c>
      <c r="G37" s="3" t="s">
        <v>77</v>
      </c>
      <c r="H37" s="3" t="s">
        <v>33</v>
      </c>
      <c r="I37" s="3">
        <v>2.0</v>
      </c>
      <c r="J37" s="3" t="s">
        <v>23</v>
      </c>
      <c r="K37" s="3" t="s">
        <v>34</v>
      </c>
      <c r="L37" s="6" t="s">
        <v>65</v>
      </c>
      <c r="M37" s="3" t="s">
        <v>1033</v>
      </c>
      <c r="N37" s="3" t="s">
        <v>125</v>
      </c>
      <c r="O37" s="3" t="s">
        <v>126</v>
      </c>
      <c r="P37" s="3" t="s">
        <v>1034</v>
      </c>
      <c r="Q37" s="3" t="s">
        <v>1035</v>
      </c>
      <c r="R37" s="2"/>
      <c r="S37" s="2"/>
      <c r="T37" s="2"/>
      <c r="U37" s="2"/>
      <c r="V37" s="2"/>
      <c r="W37" s="2"/>
      <c r="X37" s="2"/>
      <c r="Y37" s="2"/>
    </row>
    <row r="38">
      <c r="A38" s="5" t="str">
        <f>IFERROR(__xludf.DUMMYFUNCTION("LEFT(A37, 4) &amp; TEXT(VALUE(REGEXEXTRACT(A37, ""\d+"")) + 1, ""0000"")"),"UMB-0036")</f>
        <v>UMB-0036</v>
      </c>
      <c r="B38" s="3" t="s">
        <v>1007</v>
      </c>
      <c r="C38" s="3" t="s">
        <v>1032</v>
      </c>
      <c r="D38" s="2" t="str">
        <f t="shared" si="1"/>
        <v>MOLDAR SOMBRAS | F</v>
      </c>
      <c r="E38" s="3" t="s">
        <v>20</v>
      </c>
      <c r="F38" s="3" t="s">
        <v>27</v>
      </c>
      <c r="G38" s="3" t="s">
        <v>77</v>
      </c>
      <c r="H38" s="3" t="s">
        <v>33</v>
      </c>
      <c r="I38" s="3">
        <v>2.0</v>
      </c>
      <c r="J38" s="3" t="s">
        <v>23</v>
      </c>
      <c r="K38" s="3" t="s">
        <v>34</v>
      </c>
      <c r="L38" s="6" t="s">
        <v>35</v>
      </c>
      <c r="M38" s="3" t="s">
        <v>1033</v>
      </c>
      <c r="N38" s="3" t="s">
        <v>128</v>
      </c>
      <c r="O38" s="3" t="s">
        <v>126</v>
      </c>
      <c r="P38" s="3" t="s">
        <v>1034</v>
      </c>
      <c r="Q38" s="3" t="s">
        <v>1035</v>
      </c>
      <c r="R38" s="2"/>
      <c r="S38" s="2"/>
      <c r="T38" s="2"/>
      <c r="U38" s="2"/>
      <c r="V38" s="2"/>
      <c r="W38" s="2"/>
      <c r="X38" s="2"/>
      <c r="Y38" s="2"/>
    </row>
    <row r="39">
      <c r="A39" s="5" t="str">
        <f>IFERROR(__xludf.DUMMYFUNCTION("LEFT(A38, 4) &amp; TEXT(VALUE(REGEXEXTRACT(A38, ""\d+"")) + 1, ""0000"")"),"UMB-0037")</f>
        <v>UMB-0037</v>
      </c>
      <c r="B39" s="3" t="s">
        <v>1007</v>
      </c>
      <c r="C39" s="3" t="s">
        <v>1032</v>
      </c>
      <c r="D39" s="2" t="str">
        <f t="shared" si="1"/>
        <v>MOLDAR SOMBRAS | F</v>
      </c>
      <c r="E39" s="3" t="s">
        <v>20</v>
      </c>
      <c r="F39" s="3" t="s">
        <v>28</v>
      </c>
      <c r="G39" s="3" t="s">
        <v>77</v>
      </c>
      <c r="H39" s="3" t="s">
        <v>33</v>
      </c>
      <c r="I39" s="3">
        <v>2.0</v>
      </c>
      <c r="J39" s="3" t="s">
        <v>23</v>
      </c>
      <c r="K39" s="3" t="s">
        <v>34</v>
      </c>
      <c r="L39" s="6" t="s">
        <v>70</v>
      </c>
      <c r="M39" s="3" t="s">
        <v>1033</v>
      </c>
      <c r="N39" s="3" t="s">
        <v>130</v>
      </c>
      <c r="O39" s="3" t="s">
        <v>131</v>
      </c>
      <c r="P39" s="3" t="s">
        <v>1034</v>
      </c>
      <c r="Q39" s="3" t="s">
        <v>1035</v>
      </c>
      <c r="R39" s="2"/>
      <c r="S39" s="2"/>
      <c r="T39" s="2"/>
      <c r="U39" s="2"/>
      <c r="V39" s="2"/>
      <c r="W39" s="2"/>
      <c r="X39" s="2"/>
      <c r="Y39" s="2"/>
    </row>
    <row r="40">
      <c r="A40" s="5" t="str">
        <f>IFERROR(__xludf.DUMMYFUNCTION("LEFT(A39, 4) &amp; TEXT(VALUE(REGEXEXTRACT(A39, ""\d+"")) + 1, ""0000"")"),"UMB-0038")</f>
        <v>UMB-0038</v>
      </c>
      <c r="B40" s="3" t="s">
        <v>1007</v>
      </c>
      <c r="C40" s="3" t="s">
        <v>1032</v>
      </c>
      <c r="D40" s="2" t="str">
        <f t="shared" si="1"/>
        <v>MOLDAR SOMBRAS | F</v>
      </c>
      <c r="E40" s="3" t="s">
        <v>20</v>
      </c>
      <c r="F40" s="3" t="s">
        <v>29</v>
      </c>
      <c r="G40" s="3" t="s">
        <v>77</v>
      </c>
      <c r="H40" s="3" t="s">
        <v>33</v>
      </c>
      <c r="I40" s="3">
        <v>2.0</v>
      </c>
      <c r="J40" s="3" t="s">
        <v>23</v>
      </c>
      <c r="K40" s="3" t="s">
        <v>34</v>
      </c>
      <c r="L40" s="6" t="s">
        <v>72</v>
      </c>
      <c r="M40" s="3" t="s">
        <v>1033</v>
      </c>
      <c r="N40" s="3" t="s">
        <v>133</v>
      </c>
      <c r="O40" s="3" t="s">
        <v>131</v>
      </c>
      <c r="P40" s="3" t="s">
        <v>1034</v>
      </c>
      <c r="Q40" s="3" t="s">
        <v>1035</v>
      </c>
      <c r="R40" s="2"/>
      <c r="S40" s="2"/>
      <c r="T40" s="2"/>
      <c r="U40" s="2"/>
      <c r="V40" s="2"/>
      <c r="W40" s="2"/>
      <c r="X40" s="2"/>
      <c r="Y40" s="2"/>
    </row>
    <row r="41">
      <c r="A41" s="5" t="str">
        <f>IFERROR(__xludf.DUMMYFUNCTION("LEFT(A40, 4) &amp; TEXT(VALUE(REGEXEXTRACT(A40, ""\d+"")) + 1, ""0000"")"),"UMB-0039")</f>
        <v>UMB-0039</v>
      </c>
      <c r="B41" s="3" t="s">
        <v>1007</v>
      </c>
      <c r="C41" s="3" t="s">
        <v>1032</v>
      </c>
      <c r="D41" s="2" t="str">
        <f t="shared" si="1"/>
        <v>MOLDAR SOMBRAS | F</v>
      </c>
      <c r="E41" s="3" t="s">
        <v>20</v>
      </c>
      <c r="F41" s="3" t="s">
        <v>30</v>
      </c>
      <c r="G41" s="3" t="s">
        <v>77</v>
      </c>
      <c r="H41" s="3" t="s">
        <v>33</v>
      </c>
      <c r="I41" s="3">
        <v>2.0</v>
      </c>
      <c r="J41" s="3" t="s">
        <v>23</v>
      </c>
      <c r="K41" s="3" t="s">
        <v>34</v>
      </c>
      <c r="L41" s="6" t="s">
        <v>39</v>
      </c>
      <c r="M41" s="3" t="s">
        <v>1033</v>
      </c>
      <c r="N41" s="3" t="s">
        <v>135</v>
      </c>
      <c r="O41" s="3" t="s">
        <v>136</v>
      </c>
      <c r="P41" s="3" t="s">
        <v>1034</v>
      </c>
      <c r="Q41" s="3" t="s">
        <v>1035</v>
      </c>
      <c r="R41" s="2"/>
      <c r="S41" s="2"/>
      <c r="T41" s="2"/>
      <c r="U41" s="2"/>
      <c r="V41" s="2"/>
      <c r="W41" s="2"/>
      <c r="X41" s="2"/>
      <c r="Y41" s="2"/>
    </row>
    <row r="42">
      <c r="A42" s="5" t="str">
        <f>IFERROR(__xludf.DUMMYFUNCTION("LEFT(A41, 4) &amp; TEXT(VALUE(REGEXEXTRACT(A41, ""\d+"")) + 1, ""0000"")"),"UMB-0040")</f>
        <v>UMB-0040</v>
      </c>
      <c r="B42" s="3" t="s">
        <v>1007</v>
      </c>
      <c r="C42" s="3" t="s">
        <v>1036</v>
      </c>
      <c r="D42" s="2" t="str">
        <f t="shared" si="1"/>
        <v>CRIAR SOMBRAS | M</v>
      </c>
      <c r="E42" s="3" t="s">
        <v>48</v>
      </c>
      <c r="F42" s="3" t="s">
        <v>21</v>
      </c>
      <c r="G42" s="3" t="s">
        <v>214</v>
      </c>
      <c r="H42" s="3" t="s">
        <v>1037</v>
      </c>
      <c r="I42" s="3">
        <v>4.0</v>
      </c>
      <c r="J42" s="3" t="s">
        <v>126</v>
      </c>
      <c r="K42" s="3" t="s">
        <v>34</v>
      </c>
      <c r="L42" s="6" t="s">
        <v>65</v>
      </c>
      <c r="M42" s="3" t="s">
        <v>65</v>
      </c>
      <c r="N42" s="3" t="s">
        <v>125</v>
      </c>
      <c r="O42" s="3" t="s">
        <v>126</v>
      </c>
      <c r="P42" s="17" t="s">
        <v>1038</v>
      </c>
      <c r="Q42" s="2"/>
      <c r="R42" s="2"/>
      <c r="S42" s="2"/>
      <c r="T42" s="2"/>
      <c r="U42" s="2"/>
      <c r="V42" s="2"/>
      <c r="W42" s="2"/>
      <c r="X42" s="2"/>
      <c r="Y42" s="2"/>
    </row>
    <row r="43">
      <c r="A43" s="5" t="str">
        <f>IFERROR(__xludf.DUMMYFUNCTION("LEFT(A42, 4) &amp; TEXT(VALUE(REGEXEXTRACT(A42, ""\d+"")) + 1, ""0000"")"),"UMB-0041")</f>
        <v>UMB-0041</v>
      </c>
      <c r="B43" s="3" t="s">
        <v>1007</v>
      </c>
      <c r="C43" s="3" t="s">
        <v>1036</v>
      </c>
      <c r="D43" s="2" t="str">
        <f t="shared" si="1"/>
        <v>CRIAR SOMBRAS | M</v>
      </c>
      <c r="E43" s="3" t="s">
        <v>48</v>
      </c>
      <c r="F43" s="3" t="s">
        <v>27</v>
      </c>
      <c r="G43" s="3" t="s">
        <v>214</v>
      </c>
      <c r="H43" s="3" t="s">
        <v>1037</v>
      </c>
      <c r="I43" s="3">
        <v>4.0</v>
      </c>
      <c r="J43" s="3" t="s">
        <v>126</v>
      </c>
      <c r="K43" s="3" t="s">
        <v>34</v>
      </c>
      <c r="L43" s="6" t="s">
        <v>35</v>
      </c>
      <c r="M43" s="3" t="s">
        <v>65</v>
      </c>
      <c r="N43" s="3" t="s">
        <v>333</v>
      </c>
      <c r="O43" s="3" t="s">
        <v>126</v>
      </c>
      <c r="P43" s="17" t="s">
        <v>1038</v>
      </c>
      <c r="Q43" s="2"/>
      <c r="R43" s="2"/>
      <c r="S43" s="2"/>
      <c r="T43" s="2"/>
      <c r="U43" s="2"/>
      <c r="V43" s="2"/>
      <c r="W43" s="2"/>
      <c r="X43" s="2"/>
      <c r="Y43" s="2"/>
    </row>
    <row r="44">
      <c r="A44" s="5" t="str">
        <f>IFERROR(__xludf.DUMMYFUNCTION("LEFT(A43, 4) &amp; TEXT(VALUE(REGEXEXTRACT(A43, ""\d+"")) + 1, ""0000"")"),"UMB-0042")</f>
        <v>UMB-0042</v>
      </c>
      <c r="B44" s="3" t="s">
        <v>1007</v>
      </c>
      <c r="C44" s="3" t="s">
        <v>1036</v>
      </c>
      <c r="D44" s="2" t="str">
        <f t="shared" si="1"/>
        <v>CRIAR SOMBRAS | M</v>
      </c>
      <c r="E44" s="3" t="s">
        <v>48</v>
      </c>
      <c r="F44" s="3" t="s">
        <v>28</v>
      </c>
      <c r="G44" s="3" t="s">
        <v>214</v>
      </c>
      <c r="H44" s="3" t="s">
        <v>1037</v>
      </c>
      <c r="I44" s="3">
        <v>4.0</v>
      </c>
      <c r="J44" s="3" t="s">
        <v>50</v>
      </c>
      <c r="K44" s="3" t="s">
        <v>34</v>
      </c>
      <c r="L44" s="6" t="s">
        <v>70</v>
      </c>
      <c r="M44" s="3" t="s">
        <v>35</v>
      </c>
      <c r="N44" s="3" t="s">
        <v>335</v>
      </c>
      <c r="O44" s="3" t="s">
        <v>131</v>
      </c>
      <c r="P44" s="17" t="s">
        <v>1038</v>
      </c>
      <c r="Q44" s="2"/>
      <c r="R44" s="2"/>
      <c r="S44" s="2"/>
      <c r="T44" s="2"/>
      <c r="U44" s="2"/>
      <c r="V44" s="2"/>
      <c r="W44" s="2"/>
      <c r="X44" s="2"/>
      <c r="Y44" s="2"/>
    </row>
    <row r="45">
      <c r="A45" s="5" t="str">
        <f>IFERROR(__xludf.DUMMYFUNCTION("LEFT(A44, 4) &amp; TEXT(VALUE(REGEXEXTRACT(A44, ""\d+"")) + 1, ""0000"")"),"UMB-0043")</f>
        <v>UMB-0043</v>
      </c>
      <c r="B45" s="3" t="s">
        <v>1007</v>
      </c>
      <c r="C45" s="3" t="s">
        <v>1036</v>
      </c>
      <c r="D45" s="2" t="str">
        <f t="shared" si="1"/>
        <v>CRIAR SOMBRAS | M</v>
      </c>
      <c r="E45" s="3" t="s">
        <v>48</v>
      </c>
      <c r="F45" s="3" t="s">
        <v>29</v>
      </c>
      <c r="G45" s="3" t="s">
        <v>214</v>
      </c>
      <c r="H45" s="3" t="s">
        <v>1037</v>
      </c>
      <c r="I45" s="3">
        <v>4.0</v>
      </c>
      <c r="J45" s="3" t="s">
        <v>50</v>
      </c>
      <c r="K45" s="3" t="s">
        <v>34</v>
      </c>
      <c r="L45" s="6" t="s">
        <v>72</v>
      </c>
      <c r="M45" s="3" t="s">
        <v>35</v>
      </c>
      <c r="N45" s="3" t="s">
        <v>337</v>
      </c>
      <c r="O45" s="3" t="s">
        <v>131</v>
      </c>
      <c r="P45" s="17" t="s">
        <v>1038</v>
      </c>
      <c r="Q45" s="2"/>
      <c r="R45" s="2"/>
      <c r="S45" s="2"/>
      <c r="T45" s="2"/>
      <c r="U45" s="2"/>
      <c r="V45" s="2"/>
      <c r="W45" s="2"/>
      <c r="X45" s="2"/>
      <c r="Y45" s="2"/>
    </row>
    <row r="46">
      <c r="A46" s="5" t="str">
        <f>IFERROR(__xludf.DUMMYFUNCTION("LEFT(A45, 4) &amp; TEXT(VALUE(REGEXEXTRACT(A45, ""\d+"")) + 1, ""0000"")"),"UMB-0044")</f>
        <v>UMB-0044</v>
      </c>
      <c r="B46" s="3" t="s">
        <v>1007</v>
      </c>
      <c r="C46" s="3" t="s">
        <v>1036</v>
      </c>
      <c r="D46" s="2" t="str">
        <f t="shared" si="1"/>
        <v>CRIAR SOMBRAS | M</v>
      </c>
      <c r="E46" s="3" t="s">
        <v>48</v>
      </c>
      <c r="F46" s="3" t="s">
        <v>30</v>
      </c>
      <c r="G46" s="3" t="s">
        <v>214</v>
      </c>
      <c r="H46" s="3" t="s">
        <v>1037</v>
      </c>
      <c r="I46" s="3">
        <v>4.0</v>
      </c>
      <c r="J46" s="3" t="s">
        <v>23</v>
      </c>
      <c r="K46" s="3" t="s">
        <v>34</v>
      </c>
      <c r="L46" s="6" t="s">
        <v>39</v>
      </c>
      <c r="M46" s="3" t="s">
        <v>253</v>
      </c>
      <c r="N46" s="3" t="s">
        <v>339</v>
      </c>
      <c r="O46" s="3" t="s">
        <v>136</v>
      </c>
      <c r="P46" s="17" t="s">
        <v>1038</v>
      </c>
      <c r="Q46" s="2"/>
      <c r="R46" s="2"/>
      <c r="S46" s="2"/>
      <c r="T46" s="2"/>
      <c r="U46" s="2"/>
      <c r="V46" s="2"/>
      <c r="W46" s="2"/>
      <c r="X46" s="2"/>
      <c r="Y46" s="2"/>
    </row>
    <row r="47">
      <c r="A47" s="5" t="str">
        <f>IFERROR(__xludf.DUMMYFUNCTION("LEFT(A46, 4) &amp; TEXT(VALUE(REGEXEXTRACT(A46, ""\d+"")) + 1, ""0000"")"),"UMB-0045")</f>
        <v>UMB-0045</v>
      </c>
      <c r="B47" s="3" t="s">
        <v>1007</v>
      </c>
      <c r="C47" s="3" t="s">
        <v>1039</v>
      </c>
      <c r="D47" s="2" t="str">
        <f t="shared" si="1"/>
        <v>SALTAR PELAS SOMBRAS | M</v>
      </c>
      <c r="E47" s="3" t="s">
        <v>48</v>
      </c>
      <c r="F47" s="3" t="s">
        <v>21</v>
      </c>
      <c r="G47" s="3" t="s">
        <v>671</v>
      </c>
      <c r="H47" s="3" t="s">
        <v>1037</v>
      </c>
      <c r="I47" s="3">
        <v>4.0</v>
      </c>
      <c r="J47" s="3" t="s">
        <v>23</v>
      </c>
      <c r="K47" s="3" t="s">
        <v>34</v>
      </c>
      <c r="L47" s="14" t="s">
        <v>510</v>
      </c>
      <c r="M47" s="3" t="s">
        <v>24</v>
      </c>
      <c r="N47" s="3" t="s">
        <v>148</v>
      </c>
      <c r="O47" s="3" t="s">
        <v>23</v>
      </c>
      <c r="P47" s="3" t="s">
        <v>1040</v>
      </c>
      <c r="Q47" s="3" t="s">
        <v>1041</v>
      </c>
      <c r="R47" s="2"/>
      <c r="S47" s="2"/>
      <c r="T47" s="2"/>
      <c r="U47" s="2"/>
      <c r="V47" s="2"/>
      <c r="W47" s="2"/>
      <c r="X47" s="2"/>
      <c r="Y47" s="2"/>
    </row>
    <row r="48">
      <c r="A48" s="5" t="str">
        <f>IFERROR(__xludf.DUMMYFUNCTION("LEFT(A47, 4) &amp; TEXT(VALUE(REGEXEXTRACT(A47, ""\d+"")) + 1, ""0000"")"),"UMB-0046")</f>
        <v>UMB-0046</v>
      </c>
      <c r="B48" s="3" t="s">
        <v>1007</v>
      </c>
      <c r="C48" s="3" t="s">
        <v>1039</v>
      </c>
      <c r="D48" s="2" t="str">
        <f t="shared" si="1"/>
        <v>SALTAR PELAS SOMBRAS | M</v>
      </c>
      <c r="E48" s="3" t="s">
        <v>48</v>
      </c>
      <c r="F48" s="3" t="s">
        <v>27</v>
      </c>
      <c r="G48" s="3" t="s">
        <v>671</v>
      </c>
      <c r="H48" s="3" t="s">
        <v>1037</v>
      </c>
      <c r="I48" s="3">
        <v>4.0</v>
      </c>
      <c r="J48" s="3" t="s">
        <v>23</v>
      </c>
      <c r="K48" s="3" t="s">
        <v>34</v>
      </c>
      <c r="L48" s="6" t="s">
        <v>72</v>
      </c>
      <c r="M48" s="3" t="s">
        <v>24</v>
      </c>
      <c r="N48" s="3" t="s">
        <v>148</v>
      </c>
      <c r="O48" s="3" t="s">
        <v>23</v>
      </c>
      <c r="P48" s="3" t="s">
        <v>1040</v>
      </c>
      <c r="Q48" s="3" t="s">
        <v>1041</v>
      </c>
      <c r="R48" s="2"/>
      <c r="S48" s="2"/>
      <c r="T48" s="2"/>
      <c r="U48" s="2"/>
      <c r="V48" s="2"/>
      <c r="W48" s="2"/>
      <c r="X48" s="2"/>
      <c r="Y48" s="2"/>
    </row>
    <row r="49">
      <c r="A49" s="5" t="str">
        <f>IFERROR(__xludf.DUMMYFUNCTION("LEFT(A48, 4) &amp; TEXT(VALUE(REGEXEXTRACT(A48, ""\d+"")) + 1, ""0000"")"),"UMB-0047")</f>
        <v>UMB-0047</v>
      </c>
      <c r="B49" s="3" t="s">
        <v>1007</v>
      </c>
      <c r="C49" s="3" t="s">
        <v>1039</v>
      </c>
      <c r="D49" s="2" t="str">
        <f t="shared" si="1"/>
        <v>SALTAR PELAS SOMBRAS | M</v>
      </c>
      <c r="E49" s="3" t="s">
        <v>48</v>
      </c>
      <c r="F49" s="3" t="s">
        <v>28</v>
      </c>
      <c r="G49" s="3" t="s">
        <v>671</v>
      </c>
      <c r="H49" s="3" t="s">
        <v>1037</v>
      </c>
      <c r="I49" s="3">
        <v>4.0</v>
      </c>
      <c r="J49" s="3" t="s">
        <v>23</v>
      </c>
      <c r="K49" s="3" t="s">
        <v>34</v>
      </c>
      <c r="L49" s="14" t="s">
        <v>641</v>
      </c>
      <c r="M49" s="3" t="s">
        <v>24</v>
      </c>
      <c r="N49" s="3" t="s">
        <v>153</v>
      </c>
      <c r="O49" s="3" t="s">
        <v>23</v>
      </c>
      <c r="P49" s="3" t="s">
        <v>1040</v>
      </c>
      <c r="Q49" s="3" t="s">
        <v>1041</v>
      </c>
      <c r="R49" s="2"/>
      <c r="S49" s="2"/>
      <c r="T49" s="2"/>
      <c r="U49" s="2"/>
      <c r="V49" s="2"/>
      <c r="W49" s="2"/>
      <c r="X49" s="2"/>
      <c r="Y49" s="2"/>
    </row>
    <row r="50">
      <c r="A50" s="5" t="str">
        <f>IFERROR(__xludf.DUMMYFUNCTION("LEFT(A49, 4) &amp; TEXT(VALUE(REGEXEXTRACT(A49, ""\d+"")) + 1, ""0000"")"),"UMB-0048")</f>
        <v>UMB-0048</v>
      </c>
      <c r="B50" s="3" t="s">
        <v>1007</v>
      </c>
      <c r="C50" s="3" t="s">
        <v>1039</v>
      </c>
      <c r="D50" s="2" t="str">
        <f t="shared" si="1"/>
        <v>SALTAR PELAS SOMBRAS | M</v>
      </c>
      <c r="E50" s="3" t="s">
        <v>48</v>
      </c>
      <c r="F50" s="3" t="s">
        <v>29</v>
      </c>
      <c r="G50" s="3" t="s">
        <v>671</v>
      </c>
      <c r="H50" s="3" t="s">
        <v>1037</v>
      </c>
      <c r="I50" s="3">
        <v>4.0</v>
      </c>
      <c r="J50" s="3" t="s">
        <v>23</v>
      </c>
      <c r="K50" s="3" t="s">
        <v>34</v>
      </c>
      <c r="L50" s="14" t="s">
        <v>643</v>
      </c>
      <c r="M50" s="3" t="s">
        <v>24</v>
      </c>
      <c r="N50" s="3" t="s">
        <v>153</v>
      </c>
      <c r="O50" s="3" t="s">
        <v>23</v>
      </c>
      <c r="P50" s="3" t="s">
        <v>1040</v>
      </c>
      <c r="Q50" s="3" t="s">
        <v>1041</v>
      </c>
      <c r="R50" s="2"/>
      <c r="S50" s="2"/>
      <c r="T50" s="2"/>
      <c r="U50" s="2"/>
      <c r="V50" s="2"/>
      <c r="W50" s="2"/>
      <c r="X50" s="2"/>
      <c r="Y50" s="2"/>
    </row>
    <row r="51">
      <c r="A51" s="5" t="str">
        <f>IFERROR(__xludf.DUMMYFUNCTION("LEFT(A50, 4) &amp; TEXT(VALUE(REGEXEXTRACT(A50, ""\d+"")) + 1, ""0000"")"),"UMB-0049")</f>
        <v>UMB-0049</v>
      </c>
      <c r="B51" s="3" t="s">
        <v>1007</v>
      </c>
      <c r="C51" s="3" t="s">
        <v>1039</v>
      </c>
      <c r="D51" s="2" t="str">
        <f t="shared" si="1"/>
        <v>SALTAR PELAS SOMBRAS | M</v>
      </c>
      <c r="E51" s="3" t="s">
        <v>48</v>
      </c>
      <c r="F51" s="3" t="s">
        <v>30</v>
      </c>
      <c r="G51" s="3" t="s">
        <v>671</v>
      </c>
      <c r="H51" s="3" t="s">
        <v>1037</v>
      </c>
      <c r="I51" s="3">
        <v>4.0</v>
      </c>
      <c r="J51" s="3" t="s">
        <v>23</v>
      </c>
      <c r="K51" s="3" t="s">
        <v>34</v>
      </c>
      <c r="L51" s="14" t="s">
        <v>644</v>
      </c>
      <c r="M51" s="3" t="s">
        <v>24</v>
      </c>
      <c r="N51" s="3" t="s">
        <v>157</v>
      </c>
      <c r="O51" s="3" t="s">
        <v>23</v>
      </c>
      <c r="P51" s="3" t="s">
        <v>1040</v>
      </c>
      <c r="Q51" s="3" t="s">
        <v>1041</v>
      </c>
      <c r="R51" s="2"/>
      <c r="S51" s="2"/>
      <c r="T51" s="2"/>
      <c r="U51" s="2"/>
      <c r="V51" s="2"/>
      <c r="W51" s="2"/>
      <c r="X51" s="2"/>
      <c r="Y51" s="2"/>
    </row>
    <row r="52">
      <c r="A52" s="5" t="str">
        <f>IFERROR(__xludf.DUMMYFUNCTION("LEFT(A51, 4) &amp; TEXT(VALUE(REGEXEXTRACT(A51, ""\d+"")) + 1, ""0000"")"),"UMB-0050")</f>
        <v>UMB-0050</v>
      </c>
      <c r="B52" s="3" t="s">
        <v>1007</v>
      </c>
      <c r="C52" s="3" t="s">
        <v>1042</v>
      </c>
      <c r="D52" s="2" t="str">
        <f t="shared" si="1"/>
        <v>BLUR | F</v>
      </c>
      <c r="E52" s="3" t="s">
        <v>20</v>
      </c>
      <c r="F52" s="3" t="s">
        <v>21</v>
      </c>
      <c r="G52" s="3" t="s">
        <v>77</v>
      </c>
      <c r="H52" s="3" t="s">
        <v>1037</v>
      </c>
      <c r="I52" s="3">
        <v>2.0</v>
      </c>
      <c r="J52" s="3" t="s">
        <v>23</v>
      </c>
      <c r="K52" s="3" t="s">
        <v>95</v>
      </c>
      <c r="L52" s="6" t="s">
        <v>65</v>
      </c>
      <c r="M52" s="3" t="s">
        <v>1043</v>
      </c>
      <c r="N52" s="3" t="s">
        <v>1044</v>
      </c>
      <c r="O52" s="3" t="s">
        <v>126</v>
      </c>
      <c r="P52" s="4" t="s">
        <v>1045</v>
      </c>
      <c r="Q52" s="3" t="s">
        <v>1046</v>
      </c>
      <c r="R52" s="2"/>
      <c r="S52" s="2"/>
      <c r="T52" s="2"/>
      <c r="U52" s="2"/>
      <c r="V52" s="2"/>
      <c r="W52" s="2"/>
      <c r="X52" s="2"/>
      <c r="Y52" s="2"/>
    </row>
    <row r="53">
      <c r="A53" s="5" t="str">
        <f>IFERROR(__xludf.DUMMYFUNCTION("LEFT(A52, 4) &amp; TEXT(VALUE(REGEXEXTRACT(A52, ""\d+"")) + 1, ""0000"")"),"UMB-0051")</f>
        <v>UMB-0051</v>
      </c>
      <c r="B53" s="3" t="s">
        <v>1007</v>
      </c>
      <c r="C53" s="3" t="s">
        <v>1042</v>
      </c>
      <c r="D53" s="2" t="str">
        <f t="shared" si="1"/>
        <v>BLUR | F</v>
      </c>
      <c r="E53" s="3" t="s">
        <v>20</v>
      </c>
      <c r="F53" s="3" t="s">
        <v>27</v>
      </c>
      <c r="G53" s="3" t="s">
        <v>77</v>
      </c>
      <c r="H53" s="3" t="s">
        <v>1037</v>
      </c>
      <c r="I53" s="3">
        <v>2.0</v>
      </c>
      <c r="J53" s="3" t="s">
        <v>23</v>
      </c>
      <c r="K53" s="3" t="s">
        <v>95</v>
      </c>
      <c r="L53" s="6" t="s">
        <v>35</v>
      </c>
      <c r="M53" s="3" t="s">
        <v>1043</v>
      </c>
      <c r="N53" s="3" t="s">
        <v>1047</v>
      </c>
      <c r="O53" s="3" t="s">
        <v>126</v>
      </c>
      <c r="P53" s="4" t="s">
        <v>1045</v>
      </c>
      <c r="Q53" s="3" t="s">
        <v>1048</v>
      </c>
      <c r="R53" s="2"/>
      <c r="S53" s="2"/>
      <c r="T53" s="2"/>
      <c r="U53" s="2"/>
      <c r="V53" s="2"/>
      <c r="W53" s="2"/>
      <c r="X53" s="2"/>
      <c r="Y53" s="2"/>
    </row>
    <row r="54">
      <c r="A54" s="5" t="str">
        <f>IFERROR(__xludf.DUMMYFUNCTION("LEFT(A53, 4) &amp; TEXT(VALUE(REGEXEXTRACT(A53, ""\d+"")) + 1, ""0000"")"),"UMB-0052")</f>
        <v>UMB-0052</v>
      </c>
      <c r="B54" s="3" t="s">
        <v>1007</v>
      </c>
      <c r="C54" s="3" t="s">
        <v>1042</v>
      </c>
      <c r="D54" s="2" t="str">
        <f t="shared" si="1"/>
        <v>BLUR | F</v>
      </c>
      <c r="E54" s="3" t="s">
        <v>20</v>
      </c>
      <c r="F54" s="3" t="s">
        <v>28</v>
      </c>
      <c r="G54" s="3" t="s">
        <v>77</v>
      </c>
      <c r="H54" s="3" t="s">
        <v>1037</v>
      </c>
      <c r="I54" s="3">
        <v>2.0</v>
      </c>
      <c r="J54" s="3" t="s">
        <v>23</v>
      </c>
      <c r="K54" s="3" t="s">
        <v>95</v>
      </c>
      <c r="L54" s="6" t="s">
        <v>70</v>
      </c>
      <c r="M54" s="3" t="s">
        <v>1043</v>
      </c>
      <c r="N54" s="3" t="s">
        <v>1049</v>
      </c>
      <c r="O54" s="3" t="s">
        <v>131</v>
      </c>
      <c r="P54" s="4" t="s">
        <v>1045</v>
      </c>
      <c r="Q54" s="3" t="s">
        <v>1050</v>
      </c>
      <c r="R54" s="2"/>
      <c r="S54" s="2"/>
      <c r="T54" s="2"/>
      <c r="U54" s="2"/>
      <c r="V54" s="2"/>
      <c r="W54" s="2"/>
      <c r="X54" s="2"/>
      <c r="Y54" s="2"/>
    </row>
    <row r="55">
      <c r="A55" s="5" t="str">
        <f>IFERROR(__xludf.DUMMYFUNCTION("LEFT(A54, 4) &amp; TEXT(VALUE(REGEXEXTRACT(A54, ""\d+"")) + 1, ""0000"")"),"UMB-0053")</f>
        <v>UMB-0053</v>
      </c>
      <c r="B55" s="3" t="s">
        <v>1007</v>
      </c>
      <c r="C55" s="3" t="s">
        <v>1042</v>
      </c>
      <c r="D55" s="2" t="str">
        <f t="shared" si="1"/>
        <v>BLUR | F</v>
      </c>
      <c r="E55" s="3" t="s">
        <v>20</v>
      </c>
      <c r="F55" s="3" t="s">
        <v>29</v>
      </c>
      <c r="G55" s="3" t="s">
        <v>77</v>
      </c>
      <c r="H55" s="3" t="s">
        <v>1037</v>
      </c>
      <c r="I55" s="3">
        <v>2.0</v>
      </c>
      <c r="J55" s="3" t="s">
        <v>23</v>
      </c>
      <c r="K55" s="3" t="s">
        <v>95</v>
      </c>
      <c r="L55" s="6" t="s">
        <v>72</v>
      </c>
      <c r="M55" s="3" t="s">
        <v>1043</v>
      </c>
      <c r="N55" s="3" t="s">
        <v>1051</v>
      </c>
      <c r="O55" s="3" t="s">
        <v>131</v>
      </c>
      <c r="P55" s="4" t="s">
        <v>1045</v>
      </c>
      <c r="Q55" s="3" t="s">
        <v>1052</v>
      </c>
      <c r="R55" s="2"/>
      <c r="S55" s="2"/>
      <c r="T55" s="2"/>
      <c r="U55" s="2"/>
      <c r="V55" s="2"/>
      <c r="W55" s="2"/>
      <c r="X55" s="2"/>
      <c r="Y55" s="2"/>
    </row>
    <row r="56">
      <c r="A56" s="5" t="str">
        <f>IFERROR(__xludf.DUMMYFUNCTION("LEFT(A55, 4) &amp; TEXT(VALUE(REGEXEXTRACT(A55, ""\d+"")) + 1, ""0000"")"),"UMB-0054")</f>
        <v>UMB-0054</v>
      </c>
      <c r="B56" s="3" t="s">
        <v>1007</v>
      </c>
      <c r="C56" s="3" t="s">
        <v>1042</v>
      </c>
      <c r="D56" s="2" t="str">
        <f t="shared" si="1"/>
        <v>BLUR | F</v>
      </c>
      <c r="E56" s="3" t="s">
        <v>20</v>
      </c>
      <c r="F56" s="3" t="s">
        <v>30</v>
      </c>
      <c r="G56" s="3" t="s">
        <v>77</v>
      </c>
      <c r="H56" s="3" t="s">
        <v>1037</v>
      </c>
      <c r="I56" s="3">
        <v>2.0</v>
      </c>
      <c r="J56" s="3" t="s">
        <v>23</v>
      </c>
      <c r="K56" s="3" t="s">
        <v>95</v>
      </c>
      <c r="L56" s="6" t="s">
        <v>39</v>
      </c>
      <c r="M56" s="3" t="s">
        <v>1043</v>
      </c>
      <c r="N56" s="3" t="s">
        <v>1053</v>
      </c>
      <c r="O56" s="3" t="s">
        <v>136</v>
      </c>
      <c r="P56" s="4" t="s">
        <v>1045</v>
      </c>
      <c r="Q56" s="3" t="s">
        <v>1054</v>
      </c>
      <c r="R56" s="2"/>
      <c r="S56" s="2"/>
      <c r="T56" s="2"/>
      <c r="U56" s="2"/>
      <c r="V56" s="2"/>
      <c r="W56" s="2"/>
      <c r="X56" s="2"/>
      <c r="Y56" s="2"/>
    </row>
    <row r="57">
      <c r="A57" s="5" t="str">
        <f>IFERROR(__xludf.DUMMYFUNCTION("LEFT(A56, 4) &amp; TEXT(VALUE(REGEXEXTRACT(A56, ""\d+"")) + 1, ""0000"")"),"UMB-0055")</f>
        <v>UMB-0055</v>
      </c>
      <c r="B57" s="3" t="s">
        <v>1007</v>
      </c>
      <c r="C57" s="3" t="s">
        <v>1055</v>
      </c>
      <c r="D57" s="2" t="str">
        <f t="shared" si="1"/>
        <v>ESCONDER | F</v>
      </c>
      <c r="E57" s="3" t="s">
        <v>20</v>
      </c>
      <c r="F57" s="3" t="s">
        <v>21</v>
      </c>
      <c r="G57" s="3" t="s">
        <v>77</v>
      </c>
      <c r="H57" s="3" t="s">
        <v>1037</v>
      </c>
      <c r="I57" s="3">
        <v>2.0</v>
      </c>
      <c r="J57" s="3" t="s">
        <v>23</v>
      </c>
      <c r="K57" s="3" t="s">
        <v>95</v>
      </c>
      <c r="L57" s="6" t="s">
        <v>65</v>
      </c>
      <c r="M57" s="3" t="s">
        <v>1043</v>
      </c>
      <c r="N57" s="3" t="s">
        <v>1056</v>
      </c>
      <c r="O57" s="3" t="s">
        <v>136</v>
      </c>
      <c r="P57" s="3" t="s">
        <v>1057</v>
      </c>
      <c r="Q57" s="3" t="s">
        <v>1058</v>
      </c>
      <c r="R57" s="2"/>
      <c r="S57" s="2"/>
      <c r="T57" s="2"/>
      <c r="U57" s="2"/>
      <c r="V57" s="2"/>
      <c r="W57" s="2"/>
      <c r="X57" s="2"/>
      <c r="Y57" s="2"/>
    </row>
    <row r="58">
      <c r="A58" s="5" t="str">
        <f>IFERROR(__xludf.DUMMYFUNCTION("LEFT(A57, 4) &amp; TEXT(VALUE(REGEXEXTRACT(A57, ""\d+"")) + 1, ""0000"")"),"UMB-0056")</f>
        <v>UMB-0056</v>
      </c>
      <c r="B58" s="3" t="s">
        <v>1007</v>
      </c>
      <c r="C58" s="3" t="s">
        <v>1055</v>
      </c>
      <c r="D58" s="2" t="str">
        <f t="shared" si="1"/>
        <v>ESCONDER | F</v>
      </c>
      <c r="E58" s="3" t="s">
        <v>20</v>
      </c>
      <c r="F58" s="3" t="s">
        <v>27</v>
      </c>
      <c r="G58" s="3" t="s">
        <v>77</v>
      </c>
      <c r="H58" s="3" t="s">
        <v>1037</v>
      </c>
      <c r="I58" s="3">
        <v>2.0</v>
      </c>
      <c r="J58" s="3" t="s">
        <v>23</v>
      </c>
      <c r="K58" s="3" t="s">
        <v>95</v>
      </c>
      <c r="L58" s="6" t="s">
        <v>35</v>
      </c>
      <c r="M58" s="3" t="s">
        <v>1043</v>
      </c>
      <c r="N58" s="3" t="s">
        <v>1059</v>
      </c>
      <c r="O58" s="3" t="s">
        <v>136</v>
      </c>
      <c r="P58" s="3" t="s">
        <v>1060</v>
      </c>
      <c r="Q58" s="3" t="s">
        <v>1058</v>
      </c>
      <c r="R58" s="2"/>
      <c r="S58" s="2"/>
      <c r="T58" s="2"/>
      <c r="U58" s="2"/>
      <c r="V58" s="2"/>
      <c r="W58" s="2"/>
      <c r="X58" s="2"/>
      <c r="Y58" s="2"/>
    </row>
    <row r="59">
      <c r="A59" s="5" t="str">
        <f>IFERROR(__xludf.DUMMYFUNCTION("LEFT(A58, 4) &amp; TEXT(VALUE(REGEXEXTRACT(A58, ""\d+"")) + 1, ""0000"")"),"UMB-0057")</f>
        <v>UMB-0057</v>
      </c>
      <c r="B59" s="3" t="s">
        <v>1007</v>
      </c>
      <c r="C59" s="3" t="s">
        <v>1055</v>
      </c>
      <c r="D59" s="2" t="str">
        <f t="shared" si="1"/>
        <v>ESCONDER | F</v>
      </c>
      <c r="E59" s="3" t="s">
        <v>20</v>
      </c>
      <c r="F59" s="3" t="s">
        <v>28</v>
      </c>
      <c r="G59" s="3" t="s">
        <v>77</v>
      </c>
      <c r="H59" s="3" t="s">
        <v>1037</v>
      </c>
      <c r="I59" s="3">
        <v>2.0</v>
      </c>
      <c r="J59" s="3" t="s">
        <v>23</v>
      </c>
      <c r="K59" s="3" t="s">
        <v>95</v>
      </c>
      <c r="L59" s="6" t="s">
        <v>70</v>
      </c>
      <c r="M59" s="3" t="s">
        <v>1043</v>
      </c>
      <c r="N59" s="3" t="s">
        <v>1061</v>
      </c>
      <c r="O59" s="3" t="s">
        <v>659</v>
      </c>
      <c r="P59" s="3" t="s">
        <v>1062</v>
      </c>
      <c r="Q59" s="3" t="s">
        <v>1058</v>
      </c>
      <c r="R59" s="2"/>
      <c r="S59" s="2"/>
      <c r="T59" s="2"/>
      <c r="U59" s="2"/>
      <c r="V59" s="2"/>
      <c r="W59" s="2"/>
      <c r="X59" s="2"/>
      <c r="Y59" s="2"/>
    </row>
    <row r="60">
      <c r="A60" s="5" t="str">
        <f>IFERROR(__xludf.DUMMYFUNCTION("LEFT(A59, 4) &amp; TEXT(VALUE(REGEXEXTRACT(A59, ""\d+"")) + 1, ""0000"")"),"UMB-0058")</f>
        <v>UMB-0058</v>
      </c>
      <c r="B60" s="3" t="s">
        <v>1007</v>
      </c>
      <c r="C60" s="3" t="s">
        <v>1055</v>
      </c>
      <c r="D60" s="2" t="str">
        <f t="shared" si="1"/>
        <v>ESCONDER | F</v>
      </c>
      <c r="E60" s="3" t="s">
        <v>20</v>
      </c>
      <c r="F60" s="3" t="s">
        <v>29</v>
      </c>
      <c r="G60" s="3" t="s">
        <v>77</v>
      </c>
      <c r="H60" s="3" t="s">
        <v>1037</v>
      </c>
      <c r="I60" s="3">
        <v>2.0</v>
      </c>
      <c r="J60" s="3" t="s">
        <v>23</v>
      </c>
      <c r="K60" s="3" t="s">
        <v>95</v>
      </c>
      <c r="L60" s="6" t="s">
        <v>72</v>
      </c>
      <c r="M60" s="3" t="s">
        <v>1043</v>
      </c>
      <c r="N60" s="3" t="s">
        <v>1063</v>
      </c>
      <c r="O60" s="3" t="s">
        <v>659</v>
      </c>
      <c r="P60" s="3" t="s">
        <v>1064</v>
      </c>
      <c r="Q60" s="3" t="s">
        <v>1058</v>
      </c>
      <c r="R60" s="2"/>
      <c r="S60" s="2"/>
      <c r="T60" s="2"/>
      <c r="U60" s="2"/>
      <c r="V60" s="2"/>
      <c r="W60" s="2"/>
      <c r="X60" s="2"/>
      <c r="Y60" s="2"/>
    </row>
    <row r="61">
      <c r="A61" s="5" t="str">
        <f>IFERROR(__xludf.DUMMYFUNCTION("LEFT(A60, 4) &amp; TEXT(VALUE(REGEXEXTRACT(A60, ""\d+"")) + 1, ""0000"")"),"UMB-0059")</f>
        <v>UMB-0059</v>
      </c>
      <c r="B61" s="3" t="s">
        <v>1007</v>
      </c>
      <c r="C61" s="3" t="s">
        <v>1055</v>
      </c>
      <c r="D61" s="2" t="str">
        <f t="shared" si="1"/>
        <v>ESCONDER | F</v>
      </c>
      <c r="E61" s="3" t="s">
        <v>20</v>
      </c>
      <c r="F61" s="3" t="s">
        <v>30</v>
      </c>
      <c r="G61" s="3" t="s">
        <v>77</v>
      </c>
      <c r="H61" s="3" t="s">
        <v>1037</v>
      </c>
      <c r="I61" s="3">
        <v>2.0</v>
      </c>
      <c r="J61" s="3" t="s">
        <v>23</v>
      </c>
      <c r="K61" s="3" t="s">
        <v>95</v>
      </c>
      <c r="L61" s="6" t="s">
        <v>39</v>
      </c>
      <c r="M61" s="3" t="s">
        <v>1043</v>
      </c>
      <c r="N61" s="3" t="s">
        <v>1065</v>
      </c>
      <c r="O61" s="3" t="s">
        <v>1005</v>
      </c>
      <c r="P61" s="3" t="s">
        <v>1066</v>
      </c>
      <c r="Q61" s="3" t="s">
        <v>1058</v>
      </c>
      <c r="R61" s="2"/>
      <c r="S61" s="2"/>
      <c r="T61" s="2"/>
      <c r="U61" s="2"/>
      <c r="V61" s="2"/>
      <c r="W61" s="2"/>
      <c r="X61" s="2"/>
      <c r="Y61" s="2"/>
    </row>
    <row r="62">
      <c r="A62" s="5" t="str">
        <f>IFERROR(__xludf.DUMMYFUNCTION("LEFT(A61, 4) &amp; TEXT(VALUE(REGEXEXTRACT(A61, ""\d+"")) + 1, ""0000"")"),"UMB-0060")</f>
        <v>UMB-0060</v>
      </c>
      <c r="B62" s="3" t="s">
        <v>1007</v>
      </c>
      <c r="C62" s="3" t="s">
        <v>1067</v>
      </c>
      <c r="D62" s="2" t="str">
        <f t="shared" si="1"/>
        <v>INVISIBILIDADE | D</v>
      </c>
      <c r="E62" s="3" t="s">
        <v>76</v>
      </c>
      <c r="F62" s="3" t="s">
        <v>21</v>
      </c>
      <c r="G62" s="3" t="s">
        <v>77</v>
      </c>
      <c r="H62" s="3" t="s">
        <v>33</v>
      </c>
      <c r="I62" s="3">
        <v>8.0</v>
      </c>
      <c r="J62" s="3" t="s">
        <v>50</v>
      </c>
      <c r="K62" s="3" t="s">
        <v>95</v>
      </c>
      <c r="L62" s="3" t="s">
        <v>195</v>
      </c>
      <c r="M62" s="3" t="s">
        <v>124</v>
      </c>
      <c r="N62" s="3" t="s">
        <v>629</v>
      </c>
      <c r="O62" s="3" t="s">
        <v>55</v>
      </c>
      <c r="P62" s="3" t="s">
        <v>1068</v>
      </c>
      <c r="Q62" s="3" t="s">
        <v>1069</v>
      </c>
      <c r="R62" s="2"/>
      <c r="S62" s="2"/>
      <c r="T62" s="2"/>
      <c r="U62" s="2"/>
      <c r="V62" s="2"/>
      <c r="W62" s="2"/>
      <c r="X62" s="2"/>
      <c r="Y62" s="2"/>
    </row>
    <row r="63">
      <c r="A63" s="5" t="str">
        <f>IFERROR(__xludf.DUMMYFUNCTION("LEFT(A62, 4) &amp; TEXT(VALUE(REGEXEXTRACT(A62, ""\d+"")) + 1, ""0000"")"),"UMB-0061")</f>
        <v>UMB-0061</v>
      </c>
      <c r="B63" s="3" t="s">
        <v>1007</v>
      </c>
      <c r="C63" s="3" t="s">
        <v>1067</v>
      </c>
      <c r="D63" s="2" t="str">
        <f t="shared" si="1"/>
        <v>INVISIBILIDADE | D</v>
      </c>
      <c r="E63" s="3" t="s">
        <v>76</v>
      </c>
      <c r="F63" s="3" t="s">
        <v>27</v>
      </c>
      <c r="G63" s="3" t="s">
        <v>77</v>
      </c>
      <c r="H63" s="3" t="s">
        <v>33</v>
      </c>
      <c r="I63" s="3">
        <v>8.0</v>
      </c>
      <c r="J63" s="3" t="s">
        <v>50</v>
      </c>
      <c r="K63" s="3" t="s">
        <v>95</v>
      </c>
      <c r="L63" s="3" t="s">
        <v>195</v>
      </c>
      <c r="M63" s="3" t="s">
        <v>124</v>
      </c>
      <c r="N63" s="3" t="s">
        <v>631</v>
      </c>
      <c r="O63" s="3" t="s">
        <v>57</v>
      </c>
      <c r="P63" s="3" t="s">
        <v>1068</v>
      </c>
      <c r="Q63" s="3" t="s">
        <v>1069</v>
      </c>
      <c r="R63" s="2"/>
      <c r="S63" s="2"/>
      <c r="T63" s="2"/>
      <c r="U63" s="2"/>
      <c r="V63" s="2"/>
      <c r="W63" s="2"/>
      <c r="X63" s="2"/>
      <c r="Y63" s="2"/>
    </row>
    <row r="64">
      <c r="A64" s="5" t="str">
        <f>IFERROR(__xludf.DUMMYFUNCTION("LEFT(A63, 4) &amp; TEXT(VALUE(REGEXEXTRACT(A63, ""\d+"")) + 1, ""0000"")"),"UMB-0062")</f>
        <v>UMB-0062</v>
      </c>
      <c r="B64" s="3" t="s">
        <v>1007</v>
      </c>
      <c r="C64" s="3" t="s">
        <v>1067</v>
      </c>
      <c r="D64" s="2" t="str">
        <f t="shared" si="1"/>
        <v>INVISIBILIDADE | D</v>
      </c>
      <c r="E64" s="3" t="s">
        <v>76</v>
      </c>
      <c r="F64" s="3" t="s">
        <v>28</v>
      </c>
      <c r="G64" s="3" t="s">
        <v>77</v>
      </c>
      <c r="H64" s="3" t="s">
        <v>33</v>
      </c>
      <c r="I64" s="3">
        <v>8.0</v>
      </c>
      <c r="J64" s="3" t="s">
        <v>50</v>
      </c>
      <c r="K64" s="3" t="s">
        <v>95</v>
      </c>
      <c r="L64" s="3" t="s">
        <v>195</v>
      </c>
      <c r="M64" s="3" t="s">
        <v>124</v>
      </c>
      <c r="N64" s="3" t="s">
        <v>632</v>
      </c>
      <c r="O64" s="3" t="s">
        <v>633</v>
      </c>
      <c r="P64" s="3" t="s">
        <v>1068</v>
      </c>
      <c r="Q64" s="3" t="s">
        <v>1069</v>
      </c>
      <c r="R64" s="2"/>
      <c r="S64" s="2"/>
      <c r="T64" s="2"/>
      <c r="U64" s="2"/>
      <c r="V64" s="2"/>
      <c r="W64" s="2"/>
      <c r="X64" s="2"/>
      <c r="Y64" s="2"/>
    </row>
    <row r="65">
      <c r="A65" s="5" t="str">
        <f>IFERROR(__xludf.DUMMYFUNCTION("LEFT(A64, 4) &amp; TEXT(VALUE(REGEXEXTRACT(A64, ""\d+"")) + 1, ""0000"")"),"UMB-0063")</f>
        <v>UMB-0063</v>
      </c>
      <c r="B65" s="3" t="s">
        <v>1007</v>
      </c>
      <c r="C65" s="3" t="s">
        <v>1067</v>
      </c>
      <c r="D65" s="2" t="str">
        <f t="shared" si="1"/>
        <v>INVISIBILIDADE | D</v>
      </c>
      <c r="E65" s="3" t="s">
        <v>76</v>
      </c>
      <c r="F65" s="3" t="s">
        <v>29</v>
      </c>
      <c r="G65" s="3" t="s">
        <v>77</v>
      </c>
      <c r="H65" s="3" t="s">
        <v>33</v>
      </c>
      <c r="I65" s="3">
        <v>8.0</v>
      </c>
      <c r="J65" s="3" t="s">
        <v>50</v>
      </c>
      <c r="K65" s="3" t="s">
        <v>95</v>
      </c>
      <c r="L65" s="3" t="s">
        <v>195</v>
      </c>
      <c r="M65" s="3" t="s">
        <v>124</v>
      </c>
      <c r="N65" s="3" t="s">
        <v>634</v>
      </c>
      <c r="O65" s="3" t="s">
        <v>635</v>
      </c>
      <c r="P65" s="3" t="s">
        <v>1068</v>
      </c>
      <c r="Q65" s="3" t="s">
        <v>1069</v>
      </c>
      <c r="R65" s="2"/>
      <c r="S65" s="2"/>
      <c r="T65" s="2"/>
      <c r="U65" s="2"/>
      <c r="V65" s="2"/>
      <c r="W65" s="2"/>
      <c r="X65" s="2"/>
      <c r="Y65" s="2"/>
    </row>
    <row r="66">
      <c r="A66" s="5" t="str">
        <f>IFERROR(__xludf.DUMMYFUNCTION("LEFT(A65, 4) &amp; TEXT(VALUE(REGEXEXTRACT(A65, ""\d+"")) + 1, ""0000"")"),"UMB-0064")</f>
        <v>UMB-0064</v>
      </c>
      <c r="B66" s="3" t="s">
        <v>1007</v>
      </c>
      <c r="C66" s="3" t="s">
        <v>1067</v>
      </c>
      <c r="D66" s="2" t="str">
        <f t="shared" si="1"/>
        <v>INVISIBILIDADE | D</v>
      </c>
      <c r="E66" s="3" t="s">
        <v>76</v>
      </c>
      <c r="F66" s="3" t="s">
        <v>30</v>
      </c>
      <c r="G66" s="3" t="s">
        <v>77</v>
      </c>
      <c r="H66" s="3" t="s">
        <v>33</v>
      </c>
      <c r="I66" s="3">
        <v>8.0</v>
      </c>
      <c r="J66" s="3" t="s">
        <v>23</v>
      </c>
      <c r="K66" s="3" t="s">
        <v>95</v>
      </c>
      <c r="L66" s="3" t="s">
        <v>195</v>
      </c>
      <c r="M66" s="3" t="s">
        <v>124</v>
      </c>
      <c r="N66" s="3" t="s">
        <v>636</v>
      </c>
      <c r="O66" s="3" t="s">
        <v>59</v>
      </c>
      <c r="P66" s="3" t="s">
        <v>1068</v>
      </c>
      <c r="Q66" s="3" t="s">
        <v>1069</v>
      </c>
      <c r="R66" s="2"/>
      <c r="S66" s="2"/>
      <c r="T66" s="2"/>
      <c r="U66" s="2"/>
      <c r="V66" s="2"/>
      <c r="W66" s="2"/>
      <c r="X66" s="2"/>
      <c r="Y66" s="2"/>
    </row>
    <row r="67">
      <c r="A67" s="5" t="str">
        <f>IFERROR(__xludf.DUMMYFUNCTION("LEFT(A66, 4) &amp; TEXT(VALUE(REGEXEXTRACT(A66, ""\d+"")) + 1, ""0000"")"),"UMB-0065")</f>
        <v>UMB-0065</v>
      </c>
      <c r="B67" s="3" t="s">
        <v>1007</v>
      </c>
      <c r="C67" s="3" t="s">
        <v>1070</v>
      </c>
      <c r="D67" s="2" t="str">
        <f t="shared" si="1"/>
        <v>VISÃO NOTURNA | M</v>
      </c>
      <c r="E67" s="3" t="s">
        <v>48</v>
      </c>
      <c r="F67" s="3" t="s">
        <v>21</v>
      </c>
      <c r="G67" s="3" t="s">
        <v>1071</v>
      </c>
      <c r="H67" s="3" t="s">
        <v>33</v>
      </c>
      <c r="I67" s="3">
        <v>4.0</v>
      </c>
      <c r="J67" s="3" t="s">
        <v>23</v>
      </c>
      <c r="K67" s="3" t="s">
        <v>95</v>
      </c>
      <c r="L67" s="3" t="s">
        <v>195</v>
      </c>
      <c r="M67" s="3" t="s">
        <v>124</v>
      </c>
      <c r="N67" s="3" t="s">
        <v>629</v>
      </c>
      <c r="O67" s="3" t="s">
        <v>55</v>
      </c>
      <c r="P67" s="3" t="s">
        <v>1072</v>
      </c>
      <c r="Q67" s="3" t="s">
        <v>1073</v>
      </c>
      <c r="R67" s="2"/>
      <c r="S67" s="2"/>
      <c r="T67" s="2"/>
      <c r="U67" s="2"/>
      <c r="V67" s="2"/>
      <c r="W67" s="2"/>
      <c r="X67" s="2"/>
      <c r="Y67" s="2"/>
    </row>
    <row r="68">
      <c r="A68" s="5" t="str">
        <f>IFERROR(__xludf.DUMMYFUNCTION("LEFT(A67, 4) &amp; TEXT(VALUE(REGEXEXTRACT(A67, ""\d+"")) + 1, ""0000"")"),"UMB-0066")</f>
        <v>UMB-0066</v>
      </c>
      <c r="B68" s="3" t="s">
        <v>1007</v>
      </c>
      <c r="C68" s="3" t="s">
        <v>1070</v>
      </c>
      <c r="D68" s="2" t="str">
        <f t="shared" si="1"/>
        <v>VISÃO NOTURNA | M</v>
      </c>
      <c r="E68" s="3" t="s">
        <v>48</v>
      </c>
      <c r="F68" s="3" t="s">
        <v>27</v>
      </c>
      <c r="G68" s="3" t="s">
        <v>1071</v>
      </c>
      <c r="H68" s="3" t="s">
        <v>33</v>
      </c>
      <c r="I68" s="3">
        <v>4.0</v>
      </c>
      <c r="J68" s="3" t="s">
        <v>23</v>
      </c>
      <c r="K68" s="3" t="s">
        <v>95</v>
      </c>
      <c r="L68" s="3" t="s">
        <v>195</v>
      </c>
      <c r="M68" s="3" t="s">
        <v>124</v>
      </c>
      <c r="N68" s="3" t="s">
        <v>631</v>
      </c>
      <c r="O68" s="3" t="s">
        <v>57</v>
      </c>
      <c r="P68" s="3" t="s">
        <v>1072</v>
      </c>
      <c r="Q68" s="3" t="s">
        <v>1073</v>
      </c>
      <c r="R68" s="2"/>
      <c r="S68" s="2"/>
      <c r="T68" s="2"/>
      <c r="U68" s="2"/>
      <c r="V68" s="2"/>
      <c r="W68" s="2"/>
      <c r="X68" s="2"/>
      <c r="Y68" s="2"/>
    </row>
    <row r="69">
      <c r="A69" s="5" t="str">
        <f>IFERROR(__xludf.DUMMYFUNCTION("LEFT(A68, 4) &amp; TEXT(VALUE(REGEXEXTRACT(A68, ""\d+"")) + 1, ""0000"")"),"UMB-0067")</f>
        <v>UMB-0067</v>
      </c>
      <c r="B69" s="3" t="s">
        <v>1007</v>
      </c>
      <c r="C69" s="3" t="s">
        <v>1070</v>
      </c>
      <c r="D69" s="2" t="str">
        <f t="shared" si="1"/>
        <v>VISÃO NOTURNA | M</v>
      </c>
      <c r="E69" s="3" t="s">
        <v>48</v>
      </c>
      <c r="F69" s="3" t="s">
        <v>28</v>
      </c>
      <c r="G69" s="3" t="s">
        <v>1071</v>
      </c>
      <c r="H69" s="3" t="s">
        <v>33</v>
      </c>
      <c r="I69" s="3">
        <v>4.0</v>
      </c>
      <c r="J69" s="3" t="s">
        <v>23</v>
      </c>
      <c r="K69" s="3" t="s">
        <v>95</v>
      </c>
      <c r="L69" s="3" t="s">
        <v>195</v>
      </c>
      <c r="M69" s="3" t="s">
        <v>124</v>
      </c>
      <c r="N69" s="3" t="s">
        <v>632</v>
      </c>
      <c r="O69" s="3" t="s">
        <v>633</v>
      </c>
      <c r="P69" s="3" t="s">
        <v>1072</v>
      </c>
      <c r="Q69" s="3" t="s">
        <v>1073</v>
      </c>
      <c r="R69" s="2"/>
      <c r="S69" s="2"/>
      <c r="T69" s="2"/>
      <c r="U69" s="2"/>
      <c r="V69" s="2"/>
      <c r="W69" s="2"/>
      <c r="X69" s="2"/>
      <c r="Y69" s="2"/>
    </row>
    <row r="70">
      <c r="A70" s="5" t="str">
        <f>IFERROR(__xludf.DUMMYFUNCTION("LEFT(A69, 4) &amp; TEXT(VALUE(REGEXEXTRACT(A69, ""\d+"")) + 1, ""0000"")"),"UMB-0068")</f>
        <v>UMB-0068</v>
      </c>
      <c r="B70" s="3" t="s">
        <v>1007</v>
      </c>
      <c r="C70" s="3" t="s">
        <v>1070</v>
      </c>
      <c r="D70" s="2" t="str">
        <f t="shared" si="1"/>
        <v>VISÃO NOTURNA | M</v>
      </c>
      <c r="E70" s="3" t="s">
        <v>48</v>
      </c>
      <c r="F70" s="3" t="s">
        <v>29</v>
      </c>
      <c r="G70" s="3" t="s">
        <v>1071</v>
      </c>
      <c r="H70" s="3" t="s">
        <v>33</v>
      </c>
      <c r="I70" s="3">
        <v>4.0</v>
      </c>
      <c r="J70" s="3" t="s">
        <v>23</v>
      </c>
      <c r="K70" s="3" t="s">
        <v>95</v>
      </c>
      <c r="L70" s="3" t="s">
        <v>195</v>
      </c>
      <c r="M70" s="3" t="s">
        <v>124</v>
      </c>
      <c r="N70" s="3" t="s">
        <v>634</v>
      </c>
      <c r="O70" s="3" t="s">
        <v>635</v>
      </c>
      <c r="P70" s="3" t="s">
        <v>1072</v>
      </c>
      <c r="Q70" s="3" t="s">
        <v>1073</v>
      </c>
      <c r="R70" s="2"/>
      <c r="S70" s="2"/>
      <c r="T70" s="2"/>
      <c r="U70" s="2"/>
      <c r="V70" s="2"/>
      <c r="W70" s="2"/>
      <c r="X70" s="2"/>
      <c r="Y70" s="2"/>
    </row>
    <row r="71">
      <c r="A71" s="5" t="str">
        <f>IFERROR(__xludf.DUMMYFUNCTION("LEFT(A70, 4) &amp; TEXT(VALUE(REGEXEXTRACT(A70, ""\d+"")) + 1, ""0000"")"),"UMB-0069")</f>
        <v>UMB-0069</v>
      </c>
      <c r="B71" s="3" t="s">
        <v>1007</v>
      </c>
      <c r="C71" s="3" t="s">
        <v>1070</v>
      </c>
      <c r="D71" s="2" t="str">
        <f t="shared" si="1"/>
        <v>VISÃO NOTURNA | M</v>
      </c>
      <c r="E71" s="3" t="s">
        <v>48</v>
      </c>
      <c r="F71" s="3" t="s">
        <v>30</v>
      </c>
      <c r="G71" s="3" t="s">
        <v>1071</v>
      </c>
      <c r="H71" s="3" t="s">
        <v>33</v>
      </c>
      <c r="I71" s="3">
        <v>4.0</v>
      </c>
      <c r="J71" s="3" t="s">
        <v>23</v>
      </c>
      <c r="K71" s="3" t="s">
        <v>95</v>
      </c>
      <c r="L71" s="3" t="s">
        <v>195</v>
      </c>
      <c r="M71" s="3" t="s">
        <v>124</v>
      </c>
      <c r="N71" s="3" t="s">
        <v>636</v>
      </c>
      <c r="O71" s="3" t="s">
        <v>59</v>
      </c>
      <c r="P71" s="3" t="s">
        <v>1072</v>
      </c>
      <c r="Q71" s="3" t="s">
        <v>1073</v>
      </c>
      <c r="R71" s="2"/>
      <c r="S71" s="2"/>
      <c r="T71" s="2"/>
      <c r="U71" s="2"/>
      <c r="V71" s="2"/>
      <c r="W71" s="2"/>
      <c r="X71" s="2"/>
      <c r="Y71" s="2"/>
    </row>
    <row r="72">
      <c r="A72" s="5" t="str">
        <f>IFERROR(__xludf.DUMMYFUNCTION("LEFT(A71, 4) &amp; TEXT(VALUE(REGEXEXTRACT(A71, ""\d+"")) + 1, ""0000"")"),"UMB-0070")</f>
        <v>UMB-0070</v>
      </c>
      <c r="B72" s="3" t="s">
        <v>1007</v>
      </c>
      <c r="C72" s="3" t="s">
        <v>1074</v>
      </c>
      <c r="D72" s="2" t="str">
        <f t="shared" si="1"/>
        <v>VISÃO DAS SOMBRAS | D</v>
      </c>
      <c r="E72" s="3" t="s">
        <v>76</v>
      </c>
      <c r="F72" s="3" t="s">
        <v>21</v>
      </c>
      <c r="G72" s="3" t="s">
        <v>1071</v>
      </c>
      <c r="H72" s="3" t="s">
        <v>33</v>
      </c>
      <c r="I72" s="3">
        <v>8.0</v>
      </c>
      <c r="J72" s="3" t="s">
        <v>23</v>
      </c>
      <c r="K72" s="3" t="s">
        <v>95</v>
      </c>
      <c r="L72" s="3" t="s">
        <v>195</v>
      </c>
      <c r="M72" s="3" t="s">
        <v>124</v>
      </c>
      <c r="N72" s="3" t="s">
        <v>629</v>
      </c>
      <c r="O72" s="3" t="s">
        <v>55</v>
      </c>
      <c r="P72" s="3" t="s">
        <v>1075</v>
      </c>
      <c r="Q72" s="3" t="s">
        <v>1076</v>
      </c>
      <c r="R72" s="2"/>
      <c r="S72" s="2"/>
      <c r="T72" s="2"/>
      <c r="U72" s="2"/>
      <c r="V72" s="2"/>
      <c r="W72" s="2"/>
      <c r="X72" s="2"/>
      <c r="Y72" s="2"/>
    </row>
    <row r="73">
      <c r="A73" s="5" t="str">
        <f>IFERROR(__xludf.DUMMYFUNCTION("LEFT(A72, 4) &amp; TEXT(VALUE(REGEXEXTRACT(A72, ""\d+"")) + 1, ""0000"")"),"UMB-0071")</f>
        <v>UMB-0071</v>
      </c>
      <c r="B73" s="3" t="s">
        <v>1007</v>
      </c>
      <c r="C73" s="3" t="s">
        <v>1074</v>
      </c>
      <c r="D73" s="2" t="str">
        <f t="shared" si="1"/>
        <v>VISÃO DAS SOMBRAS | D</v>
      </c>
      <c r="E73" s="3" t="s">
        <v>76</v>
      </c>
      <c r="F73" s="3" t="s">
        <v>27</v>
      </c>
      <c r="G73" s="3" t="s">
        <v>1071</v>
      </c>
      <c r="H73" s="3" t="s">
        <v>33</v>
      </c>
      <c r="I73" s="3">
        <v>8.0</v>
      </c>
      <c r="J73" s="3" t="s">
        <v>23</v>
      </c>
      <c r="K73" s="3" t="s">
        <v>95</v>
      </c>
      <c r="L73" s="3" t="s">
        <v>195</v>
      </c>
      <c r="M73" s="3" t="s">
        <v>124</v>
      </c>
      <c r="N73" s="3" t="s">
        <v>631</v>
      </c>
      <c r="O73" s="3" t="s">
        <v>57</v>
      </c>
      <c r="P73" s="3" t="s">
        <v>1075</v>
      </c>
      <c r="Q73" s="3" t="s">
        <v>1076</v>
      </c>
      <c r="R73" s="2"/>
      <c r="S73" s="2"/>
      <c r="T73" s="2"/>
      <c r="U73" s="2"/>
      <c r="V73" s="2"/>
      <c r="W73" s="2"/>
      <c r="X73" s="2"/>
      <c r="Y73" s="2"/>
    </row>
    <row r="74">
      <c r="A74" s="5" t="str">
        <f>IFERROR(__xludf.DUMMYFUNCTION("LEFT(A73, 4) &amp; TEXT(VALUE(REGEXEXTRACT(A73, ""\d+"")) + 1, ""0000"")"),"UMB-0072")</f>
        <v>UMB-0072</v>
      </c>
      <c r="B74" s="3" t="s">
        <v>1007</v>
      </c>
      <c r="C74" s="3" t="s">
        <v>1074</v>
      </c>
      <c r="D74" s="2" t="str">
        <f t="shared" si="1"/>
        <v>VISÃO DAS SOMBRAS | D</v>
      </c>
      <c r="E74" s="3" t="s">
        <v>76</v>
      </c>
      <c r="F74" s="3" t="s">
        <v>28</v>
      </c>
      <c r="G74" s="3" t="s">
        <v>1071</v>
      </c>
      <c r="H74" s="3" t="s">
        <v>33</v>
      </c>
      <c r="I74" s="3">
        <v>8.0</v>
      </c>
      <c r="J74" s="3" t="s">
        <v>23</v>
      </c>
      <c r="K74" s="3" t="s">
        <v>95</v>
      </c>
      <c r="L74" s="3" t="s">
        <v>195</v>
      </c>
      <c r="M74" s="3" t="s">
        <v>124</v>
      </c>
      <c r="N74" s="3" t="s">
        <v>632</v>
      </c>
      <c r="O74" s="3" t="s">
        <v>633</v>
      </c>
      <c r="P74" s="3" t="s">
        <v>1075</v>
      </c>
      <c r="Q74" s="3" t="s">
        <v>1076</v>
      </c>
      <c r="R74" s="2"/>
      <c r="S74" s="2"/>
      <c r="T74" s="2"/>
      <c r="U74" s="2"/>
      <c r="V74" s="2"/>
      <c r="W74" s="2"/>
      <c r="X74" s="2"/>
      <c r="Y74" s="2"/>
    </row>
    <row r="75">
      <c r="A75" s="5" t="str">
        <f>IFERROR(__xludf.DUMMYFUNCTION("LEFT(A74, 4) &amp; TEXT(VALUE(REGEXEXTRACT(A74, ""\d+"")) + 1, ""0000"")"),"UMB-0073")</f>
        <v>UMB-0073</v>
      </c>
      <c r="B75" s="3" t="s">
        <v>1007</v>
      </c>
      <c r="C75" s="3" t="s">
        <v>1074</v>
      </c>
      <c r="D75" s="2" t="str">
        <f t="shared" si="1"/>
        <v>VISÃO DAS SOMBRAS | D</v>
      </c>
      <c r="E75" s="3" t="s">
        <v>76</v>
      </c>
      <c r="F75" s="3" t="s">
        <v>29</v>
      </c>
      <c r="G75" s="3" t="s">
        <v>1071</v>
      </c>
      <c r="H75" s="3" t="s">
        <v>33</v>
      </c>
      <c r="I75" s="3">
        <v>8.0</v>
      </c>
      <c r="J75" s="3" t="s">
        <v>23</v>
      </c>
      <c r="K75" s="3" t="s">
        <v>95</v>
      </c>
      <c r="L75" s="3" t="s">
        <v>195</v>
      </c>
      <c r="M75" s="3" t="s">
        <v>124</v>
      </c>
      <c r="N75" s="3" t="s">
        <v>634</v>
      </c>
      <c r="O75" s="3" t="s">
        <v>635</v>
      </c>
      <c r="P75" s="3" t="s">
        <v>1075</v>
      </c>
      <c r="Q75" s="3" t="s">
        <v>1076</v>
      </c>
      <c r="R75" s="2"/>
      <c r="S75" s="2"/>
      <c r="T75" s="2"/>
      <c r="U75" s="2"/>
      <c r="V75" s="2"/>
      <c r="W75" s="2"/>
      <c r="X75" s="2"/>
      <c r="Y75" s="2"/>
    </row>
    <row r="76">
      <c r="A76" s="5" t="str">
        <f>IFERROR(__xludf.DUMMYFUNCTION("LEFT(A75, 4) &amp; TEXT(VALUE(REGEXEXTRACT(A75, ""\d+"")) + 1, ""0000"")"),"UMB-0074")</f>
        <v>UMB-0074</v>
      </c>
      <c r="B76" s="3" t="s">
        <v>1007</v>
      </c>
      <c r="C76" s="3" t="s">
        <v>1074</v>
      </c>
      <c r="D76" s="2" t="str">
        <f t="shared" si="1"/>
        <v>VISÃO DAS SOMBRAS | D</v>
      </c>
      <c r="E76" s="3" t="s">
        <v>76</v>
      </c>
      <c r="F76" s="3" t="s">
        <v>30</v>
      </c>
      <c r="G76" s="3" t="s">
        <v>1071</v>
      </c>
      <c r="H76" s="3" t="s">
        <v>33</v>
      </c>
      <c r="I76" s="3">
        <v>8.0</v>
      </c>
      <c r="J76" s="3" t="s">
        <v>23</v>
      </c>
      <c r="K76" s="3" t="s">
        <v>95</v>
      </c>
      <c r="L76" s="3" t="s">
        <v>195</v>
      </c>
      <c r="M76" s="3" t="s">
        <v>124</v>
      </c>
      <c r="N76" s="3" t="s">
        <v>636</v>
      </c>
      <c r="O76" s="3" t="s">
        <v>59</v>
      </c>
      <c r="P76" s="3" t="s">
        <v>1075</v>
      </c>
      <c r="Q76" s="3" t="s">
        <v>1076</v>
      </c>
      <c r="R76" s="2"/>
      <c r="S76" s="2"/>
      <c r="T76" s="2"/>
      <c r="U76" s="2"/>
      <c r="V76" s="2"/>
      <c r="W76" s="2"/>
      <c r="X76" s="2"/>
      <c r="Y76" s="2"/>
    </row>
    <row r="77">
      <c r="A77" s="5" t="str">
        <f>IFERROR(__xludf.DUMMYFUNCTION("LEFT(A76, 4) &amp; TEXT(VALUE(REGEXEXTRACT(A76, ""\d+"")) + 1, ""0000"")"),"UMB-0075")</f>
        <v>UMB-0075</v>
      </c>
      <c r="B77" s="3" t="s">
        <v>1007</v>
      </c>
      <c r="C77" s="3" t="s">
        <v>1077</v>
      </c>
      <c r="D77" s="2" t="str">
        <f t="shared" si="1"/>
        <v>VISÃO DE ÁGUIA | D</v>
      </c>
      <c r="E77" s="3" t="s">
        <v>76</v>
      </c>
      <c r="F77" s="3" t="s">
        <v>21</v>
      </c>
      <c r="G77" s="3" t="s">
        <v>1071</v>
      </c>
      <c r="H77" s="3" t="s">
        <v>33</v>
      </c>
      <c r="I77" s="3">
        <v>8.0</v>
      </c>
      <c r="J77" s="3" t="s">
        <v>23</v>
      </c>
      <c r="K77" s="3" t="s">
        <v>95</v>
      </c>
      <c r="L77" s="3" t="s">
        <v>195</v>
      </c>
      <c r="M77" s="3" t="s">
        <v>124</v>
      </c>
      <c r="N77" s="3" t="s">
        <v>629</v>
      </c>
      <c r="O77" s="3" t="s">
        <v>55</v>
      </c>
      <c r="P77" s="3" t="s">
        <v>1078</v>
      </c>
      <c r="Q77" s="3" t="s">
        <v>1079</v>
      </c>
      <c r="R77" s="2"/>
      <c r="S77" s="2"/>
      <c r="T77" s="2"/>
      <c r="U77" s="2"/>
      <c r="V77" s="2"/>
      <c r="W77" s="2"/>
      <c r="X77" s="2"/>
      <c r="Y77" s="2"/>
    </row>
    <row r="78">
      <c r="A78" s="5" t="str">
        <f>IFERROR(__xludf.DUMMYFUNCTION("LEFT(A77, 4) &amp; TEXT(VALUE(REGEXEXTRACT(A77, ""\d+"")) + 1, ""0000"")"),"UMB-0076")</f>
        <v>UMB-0076</v>
      </c>
      <c r="B78" s="3" t="s">
        <v>1007</v>
      </c>
      <c r="C78" s="3" t="s">
        <v>1077</v>
      </c>
      <c r="D78" s="2" t="str">
        <f t="shared" si="1"/>
        <v>VISÃO DE ÁGUIA | D</v>
      </c>
      <c r="E78" s="3" t="s">
        <v>76</v>
      </c>
      <c r="F78" s="3" t="s">
        <v>27</v>
      </c>
      <c r="G78" s="3" t="s">
        <v>1071</v>
      </c>
      <c r="H78" s="3" t="s">
        <v>33</v>
      </c>
      <c r="I78" s="3">
        <v>8.0</v>
      </c>
      <c r="J78" s="3" t="s">
        <v>23</v>
      </c>
      <c r="K78" s="3" t="s">
        <v>95</v>
      </c>
      <c r="L78" s="3" t="s">
        <v>195</v>
      </c>
      <c r="M78" s="3" t="s">
        <v>124</v>
      </c>
      <c r="N78" s="3" t="s">
        <v>631</v>
      </c>
      <c r="O78" s="3" t="s">
        <v>57</v>
      </c>
      <c r="P78" s="3" t="s">
        <v>1078</v>
      </c>
      <c r="Q78" s="3" t="s">
        <v>1080</v>
      </c>
      <c r="R78" s="2"/>
      <c r="S78" s="2"/>
      <c r="T78" s="2"/>
      <c r="U78" s="2"/>
      <c r="V78" s="2"/>
      <c r="W78" s="2"/>
      <c r="X78" s="2"/>
      <c r="Y78" s="2"/>
    </row>
    <row r="79">
      <c r="A79" s="5" t="str">
        <f>IFERROR(__xludf.DUMMYFUNCTION("LEFT(A78, 4) &amp; TEXT(VALUE(REGEXEXTRACT(A78, ""\d+"")) + 1, ""0000"")"),"UMB-0077")</f>
        <v>UMB-0077</v>
      </c>
      <c r="B79" s="3" t="s">
        <v>1007</v>
      </c>
      <c r="C79" s="3" t="s">
        <v>1077</v>
      </c>
      <c r="D79" s="2" t="str">
        <f t="shared" si="1"/>
        <v>VISÃO DE ÁGUIA | D</v>
      </c>
      <c r="E79" s="3" t="s">
        <v>76</v>
      </c>
      <c r="F79" s="3" t="s">
        <v>28</v>
      </c>
      <c r="G79" s="3" t="s">
        <v>1071</v>
      </c>
      <c r="H79" s="3" t="s">
        <v>33</v>
      </c>
      <c r="I79" s="3">
        <v>8.0</v>
      </c>
      <c r="J79" s="3" t="s">
        <v>23</v>
      </c>
      <c r="K79" s="3" t="s">
        <v>95</v>
      </c>
      <c r="L79" s="3" t="s">
        <v>195</v>
      </c>
      <c r="M79" s="3" t="s">
        <v>124</v>
      </c>
      <c r="N79" s="3" t="s">
        <v>632</v>
      </c>
      <c r="O79" s="3" t="s">
        <v>633</v>
      </c>
      <c r="P79" s="3" t="s">
        <v>1078</v>
      </c>
      <c r="Q79" s="3" t="s">
        <v>1081</v>
      </c>
      <c r="R79" s="2"/>
      <c r="S79" s="2"/>
      <c r="T79" s="2"/>
      <c r="U79" s="2"/>
      <c r="V79" s="2"/>
      <c r="W79" s="2"/>
      <c r="X79" s="2"/>
      <c r="Y79" s="2"/>
    </row>
    <row r="80">
      <c r="A80" s="5" t="str">
        <f>IFERROR(__xludf.DUMMYFUNCTION("LEFT(A79, 4) &amp; TEXT(VALUE(REGEXEXTRACT(A79, ""\d+"")) + 1, ""0000"")"),"UMB-0078")</f>
        <v>UMB-0078</v>
      </c>
      <c r="B80" s="3" t="s">
        <v>1007</v>
      </c>
      <c r="C80" s="3" t="s">
        <v>1077</v>
      </c>
      <c r="D80" s="2" t="str">
        <f t="shared" si="1"/>
        <v>VISÃO DE ÁGUIA | D</v>
      </c>
      <c r="E80" s="3" t="s">
        <v>76</v>
      </c>
      <c r="F80" s="3" t="s">
        <v>29</v>
      </c>
      <c r="G80" s="3" t="s">
        <v>1071</v>
      </c>
      <c r="H80" s="3" t="s">
        <v>33</v>
      </c>
      <c r="I80" s="3">
        <v>8.0</v>
      </c>
      <c r="J80" s="3" t="s">
        <v>23</v>
      </c>
      <c r="K80" s="3" t="s">
        <v>95</v>
      </c>
      <c r="L80" s="3" t="s">
        <v>195</v>
      </c>
      <c r="M80" s="3" t="s">
        <v>124</v>
      </c>
      <c r="N80" s="3" t="s">
        <v>634</v>
      </c>
      <c r="O80" s="3" t="s">
        <v>635</v>
      </c>
      <c r="P80" s="3" t="s">
        <v>1078</v>
      </c>
      <c r="Q80" s="3" t="s">
        <v>1082</v>
      </c>
      <c r="R80" s="2"/>
      <c r="S80" s="2"/>
      <c r="T80" s="2"/>
      <c r="U80" s="2"/>
      <c r="V80" s="2"/>
      <c r="W80" s="2"/>
      <c r="X80" s="2"/>
      <c r="Y80" s="2"/>
    </row>
    <row r="81">
      <c r="A81" s="5" t="str">
        <f>IFERROR(__xludf.DUMMYFUNCTION("LEFT(A80, 4) &amp; TEXT(VALUE(REGEXEXTRACT(A80, ""\d+"")) + 1, ""0000"")"),"UMB-0079")</f>
        <v>UMB-0079</v>
      </c>
      <c r="B81" s="3" t="s">
        <v>1007</v>
      </c>
      <c r="C81" s="3" t="s">
        <v>1077</v>
      </c>
      <c r="D81" s="2" t="str">
        <f t="shared" si="1"/>
        <v>VISÃO DE ÁGUIA | D</v>
      </c>
      <c r="E81" s="3" t="s">
        <v>76</v>
      </c>
      <c r="F81" s="3" t="s">
        <v>30</v>
      </c>
      <c r="G81" s="3" t="s">
        <v>1071</v>
      </c>
      <c r="H81" s="3" t="s">
        <v>33</v>
      </c>
      <c r="I81" s="3">
        <v>8.0</v>
      </c>
      <c r="J81" s="3" t="s">
        <v>23</v>
      </c>
      <c r="K81" s="3" t="s">
        <v>95</v>
      </c>
      <c r="L81" s="3" t="s">
        <v>195</v>
      </c>
      <c r="M81" s="3" t="s">
        <v>124</v>
      </c>
      <c r="N81" s="3" t="s">
        <v>636</v>
      </c>
      <c r="O81" s="3" t="s">
        <v>59</v>
      </c>
      <c r="P81" s="3" t="s">
        <v>1078</v>
      </c>
      <c r="Q81" s="3" t="s">
        <v>1083</v>
      </c>
      <c r="R81" s="2"/>
      <c r="S81" s="2"/>
      <c r="T81" s="2"/>
      <c r="U81" s="2"/>
      <c r="V81" s="2"/>
      <c r="W81" s="2"/>
      <c r="X81" s="2"/>
      <c r="Y81" s="2"/>
    </row>
    <row r="82">
      <c r="A82" s="5" t="str">
        <f>IFERROR(__xludf.DUMMYFUNCTION("LEFT(A81, 4) &amp; TEXT(VALUE(REGEXEXTRACT(A81, ""\d+"")) + 1, ""0000"")"),"UMB-0080")</f>
        <v>UMB-0080</v>
      </c>
      <c r="B82" s="3" t="s">
        <v>1007</v>
      </c>
      <c r="C82" s="3" t="s">
        <v>1084</v>
      </c>
      <c r="D82" s="2" t="str">
        <f t="shared" si="1"/>
        <v>VER INVISÍVEL | MD</v>
      </c>
      <c r="E82" s="3" t="s">
        <v>94</v>
      </c>
      <c r="F82" s="3" t="s">
        <v>21</v>
      </c>
      <c r="G82" s="3" t="s">
        <v>1071</v>
      </c>
      <c r="H82" s="3" t="s">
        <v>33</v>
      </c>
      <c r="I82" s="3">
        <v>16.0</v>
      </c>
      <c r="J82" s="3" t="s">
        <v>50</v>
      </c>
      <c r="K82" s="3" t="s">
        <v>95</v>
      </c>
      <c r="L82" s="3" t="s">
        <v>195</v>
      </c>
      <c r="M82" s="3" t="s">
        <v>124</v>
      </c>
      <c r="N82" s="3" t="s">
        <v>629</v>
      </c>
      <c r="O82" s="3" t="s">
        <v>55</v>
      </c>
      <c r="P82" s="4" t="s">
        <v>1085</v>
      </c>
      <c r="Q82" s="3" t="s">
        <v>1086</v>
      </c>
      <c r="R82" s="2"/>
      <c r="S82" s="2"/>
      <c r="T82" s="2"/>
      <c r="U82" s="2"/>
      <c r="V82" s="2"/>
      <c r="W82" s="2"/>
      <c r="X82" s="2"/>
      <c r="Y82" s="2"/>
    </row>
    <row r="83">
      <c r="A83" s="5" t="str">
        <f>IFERROR(__xludf.DUMMYFUNCTION("LEFT(A82, 4) &amp; TEXT(VALUE(REGEXEXTRACT(A82, ""\d+"")) + 1, ""0000"")"),"UMB-0081")</f>
        <v>UMB-0081</v>
      </c>
      <c r="B83" s="3" t="s">
        <v>1007</v>
      </c>
      <c r="C83" s="3" t="s">
        <v>1084</v>
      </c>
      <c r="D83" s="2" t="str">
        <f t="shared" si="1"/>
        <v>VER INVISÍVEL | MD</v>
      </c>
      <c r="E83" s="3" t="s">
        <v>94</v>
      </c>
      <c r="F83" s="3" t="s">
        <v>27</v>
      </c>
      <c r="G83" s="3" t="s">
        <v>1071</v>
      </c>
      <c r="H83" s="3" t="s">
        <v>33</v>
      </c>
      <c r="I83" s="3">
        <v>16.0</v>
      </c>
      <c r="J83" s="3" t="s">
        <v>50</v>
      </c>
      <c r="K83" s="3" t="s">
        <v>95</v>
      </c>
      <c r="L83" s="3" t="s">
        <v>195</v>
      </c>
      <c r="M83" s="3" t="s">
        <v>124</v>
      </c>
      <c r="N83" s="3" t="s">
        <v>631</v>
      </c>
      <c r="O83" s="3" t="s">
        <v>57</v>
      </c>
      <c r="P83" s="4" t="s">
        <v>1085</v>
      </c>
      <c r="Q83" s="3" t="s">
        <v>1086</v>
      </c>
      <c r="R83" s="2"/>
      <c r="S83" s="2"/>
      <c r="T83" s="2"/>
      <c r="U83" s="2"/>
      <c r="V83" s="2"/>
      <c r="W83" s="2"/>
      <c r="X83" s="2"/>
      <c r="Y83" s="2"/>
    </row>
    <row r="84">
      <c r="A84" s="5" t="str">
        <f>IFERROR(__xludf.DUMMYFUNCTION("LEFT(A83, 4) &amp; TEXT(VALUE(REGEXEXTRACT(A83, ""\d+"")) + 1, ""0000"")"),"UMB-0082")</f>
        <v>UMB-0082</v>
      </c>
      <c r="B84" s="3" t="s">
        <v>1007</v>
      </c>
      <c r="C84" s="3" t="s">
        <v>1084</v>
      </c>
      <c r="D84" s="2" t="str">
        <f t="shared" si="1"/>
        <v>VER INVISÍVEL | MD</v>
      </c>
      <c r="E84" s="3" t="s">
        <v>94</v>
      </c>
      <c r="F84" s="3" t="s">
        <v>28</v>
      </c>
      <c r="G84" s="3" t="s">
        <v>1071</v>
      </c>
      <c r="H84" s="3" t="s">
        <v>33</v>
      </c>
      <c r="I84" s="3">
        <v>16.0</v>
      </c>
      <c r="J84" s="3" t="s">
        <v>50</v>
      </c>
      <c r="K84" s="3" t="s">
        <v>95</v>
      </c>
      <c r="L84" s="3" t="s">
        <v>195</v>
      </c>
      <c r="M84" s="3" t="s">
        <v>124</v>
      </c>
      <c r="N84" s="3" t="s">
        <v>632</v>
      </c>
      <c r="O84" s="3" t="s">
        <v>633</v>
      </c>
      <c r="P84" s="4" t="s">
        <v>1085</v>
      </c>
      <c r="Q84" s="3" t="s">
        <v>1086</v>
      </c>
      <c r="R84" s="2"/>
      <c r="S84" s="2"/>
      <c r="T84" s="2"/>
      <c r="U84" s="2"/>
      <c r="V84" s="2"/>
      <c r="W84" s="2"/>
      <c r="X84" s="2"/>
      <c r="Y84" s="2"/>
    </row>
    <row r="85">
      <c r="A85" s="5" t="str">
        <f>IFERROR(__xludf.DUMMYFUNCTION("LEFT(A84, 4) &amp; TEXT(VALUE(REGEXEXTRACT(A84, ""\d+"")) + 1, ""0000"")"),"UMB-0083")</f>
        <v>UMB-0083</v>
      </c>
      <c r="B85" s="3" t="s">
        <v>1007</v>
      </c>
      <c r="C85" s="3" t="s">
        <v>1084</v>
      </c>
      <c r="D85" s="2" t="str">
        <f t="shared" si="1"/>
        <v>VER INVISÍVEL | MD</v>
      </c>
      <c r="E85" s="3" t="s">
        <v>94</v>
      </c>
      <c r="F85" s="3" t="s">
        <v>29</v>
      </c>
      <c r="G85" s="3" t="s">
        <v>1071</v>
      </c>
      <c r="H85" s="3" t="s">
        <v>33</v>
      </c>
      <c r="I85" s="3">
        <v>16.0</v>
      </c>
      <c r="J85" s="3" t="s">
        <v>50</v>
      </c>
      <c r="K85" s="3" t="s">
        <v>95</v>
      </c>
      <c r="L85" s="3" t="s">
        <v>195</v>
      </c>
      <c r="M85" s="3" t="s">
        <v>124</v>
      </c>
      <c r="N85" s="3" t="s">
        <v>634</v>
      </c>
      <c r="O85" s="3" t="s">
        <v>635</v>
      </c>
      <c r="P85" s="4" t="s">
        <v>1085</v>
      </c>
      <c r="Q85" s="3" t="s">
        <v>1086</v>
      </c>
      <c r="R85" s="2"/>
      <c r="S85" s="2"/>
      <c r="T85" s="2"/>
      <c r="U85" s="2"/>
      <c r="V85" s="2"/>
      <c r="W85" s="2"/>
      <c r="X85" s="2"/>
      <c r="Y85" s="2"/>
    </row>
    <row r="86">
      <c r="A86" s="5" t="str">
        <f>IFERROR(__xludf.DUMMYFUNCTION("LEFT(A85, 4) &amp; TEXT(VALUE(REGEXEXTRACT(A85, ""\d+"")) + 1, ""0000"")"),"UMB-0084")</f>
        <v>UMB-0084</v>
      </c>
      <c r="B86" s="3" t="s">
        <v>1007</v>
      </c>
      <c r="C86" s="3" t="s">
        <v>1084</v>
      </c>
      <c r="D86" s="2" t="str">
        <f t="shared" si="1"/>
        <v>VER INVISÍVEL | MD</v>
      </c>
      <c r="E86" s="3" t="s">
        <v>94</v>
      </c>
      <c r="F86" s="3" t="s">
        <v>30</v>
      </c>
      <c r="G86" s="3" t="s">
        <v>1071</v>
      </c>
      <c r="H86" s="3" t="s">
        <v>33</v>
      </c>
      <c r="I86" s="3">
        <v>16.0</v>
      </c>
      <c r="J86" s="3" t="s">
        <v>23</v>
      </c>
      <c r="K86" s="3" t="s">
        <v>95</v>
      </c>
      <c r="L86" s="3" t="s">
        <v>195</v>
      </c>
      <c r="M86" s="3" t="s">
        <v>124</v>
      </c>
      <c r="N86" s="3" t="s">
        <v>636</v>
      </c>
      <c r="O86" s="3" t="s">
        <v>59</v>
      </c>
      <c r="P86" s="4" t="s">
        <v>1085</v>
      </c>
      <c r="Q86" s="3" t="s">
        <v>1086</v>
      </c>
      <c r="R86" s="2"/>
      <c r="S86" s="2"/>
      <c r="T86" s="2"/>
      <c r="U86" s="2"/>
      <c r="V86" s="2"/>
      <c r="W86" s="2"/>
      <c r="X86" s="2"/>
      <c r="Y86" s="2"/>
    </row>
    <row r="87">
      <c r="A87" s="5" t="str">
        <f>IFERROR(__xludf.DUMMYFUNCTION("LEFT(A86, 4) &amp; TEXT(VALUE(REGEXEXTRACT(A86, ""\d+"")) + 1, ""0000"")"),"UMB-0085")</f>
        <v>UMB-0085</v>
      </c>
      <c r="B87" s="3" t="s">
        <v>1007</v>
      </c>
      <c r="C87" s="3" t="s">
        <v>1087</v>
      </c>
      <c r="D87" s="2" t="str">
        <f t="shared" si="1"/>
        <v>ATRAIR | M</v>
      </c>
      <c r="E87" s="3" t="s">
        <v>48</v>
      </c>
      <c r="F87" s="3" t="s">
        <v>21</v>
      </c>
      <c r="G87" s="3" t="s">
        <v>77</v>
      </c>
      <c r="H87" s="3" t="s">
        <v>33</v>
      </c>
      <c r="I87" s="3">
        <v>4.0</v>
      </c>
      <c r="J87" s="3" t="s">
        <v>126</v>
      </c>
      <c r="K87" s="3" t="s">
        <v>34</v>
      </c>
      <c r="L87" s="6" t="s">
        <v>65</v>
      </c>
      <c r="M87" s="3" t="s">
        <v>65</v>
      </c>
      <c r="N87" s="3" t="s">
        <v>125</v>
      </c>
      <c r="O87" s="3" t="s">
        <v>126</v>
      </c>
      <c r="P87" s="3" t="s">
        <v>1088</v>
      </c>
      <c r="Q87" s="3" t="s">
        <v>1089</v>
      </c>
      <c r="R87" s="2"/>
      <c r="S87" s="2"/>
      <c r="T87" s="2"/>
      <c r="U87" s="2"/>
      <c r="V87" s="2"/>
      <c r="W87" s="2"/>
      <c r="X87" s="2"/>
      <c r="Y87" s="2"/>
    </row>
    <row r="88">
      <c r="A88" s="5" t="str">
        <f>IFERROR(__xludf.DUMMYFUNCTION("LEFT(A87, 4) &amp; TEXT(VALUE(REGEXEXTRACT(A87, ""\d+"")) + 1, ""0000"")"),"UMB-0086")</f>
        <v>UMB-0086</v>
      </c>
      <c r="B88" s="3" t="s">
        <v>1007</v>
      </c>
      <c r="C88" s="3" t="s">
        <v>1087</v>
      </c>
      <c r="D88" s="2" t="str">
        <f t="shared" si="1"/>
        <v>ATRAIR | M</v>
      </c>
      <c r="E88" s="3" t="s">
        <v>48</v>
      </c>
      <c r="F88" s="3" t="s">
        <v>27</v>
      </c>
      <c r="G88" s="3" t="s">
        <v>77</v>
      </c>
      <c r="H88" s="3" t="s">
        <v>33</v>
      </c>
      <c r="I88" s="3">
        <v>4.0</v>
      </c>
      <c r="J88" s="3" t="s">
        <v>126</v>
      </c>
      <c r="K88" s="3" t="s">
        <v>34</v>
      </c>
      <c r="L88" s="6" t="s">
        <v>35</v>
      </c>
      <c r="M88" s="3" t="s">
        <v>65</v>
      </c>
      <c r="N88" s="3" t="s">
        <v>333</v>
      </c>
      <c r="O88" s="3" t="s">
        <v>126</v>
      </c>
      <c r="P88" s="3" t="s">
        <v>1088</v>
      </c>
      <c r="Q88" s="3" t="s">
        <v>1089</v>
      </c>
      <c r="R88" s="2"/>
      <c r="S88" s="2"/>
      <c r="T88" s="2"/>
      <c r="U88" s="2"/>
      <c r="V88" s="2"/>
      <c r="W88" s="2"/>
      <c r="X88" s="2"/>
      <c r="Y88" s="2"/>
    </row>
    <row r="89">
      <c r="A89" s="5" t="str">
        <f>IFERROR(__xludf.DUMMYFUNCTION("LEFT(A88, 4) &amp; TEXT(VALUE(REGEXEXTRACT(A88, ""\d+"")) + 1, ""0000"")"),"UMB-0087")</f>
        <v>UMB-0087</v>
      </c>
      <c r="B89" s="3" t="s">
        <v>1007</v>
      </c>
      <c r="C89" s="3" t="s">
        <v>1087</v>
      </c>
      <c r="D89" s="2" t="str">
        <f t="shared" si="1"/>
        <v>ATRAIR | M</v>
      </c>
      <c r="E89" s="3" t="s">
        <v>48</v>
      </c>
      <c r="F89" s="3" t="s">
        <v>28</v>
      </c>
      <c r="G89" s="3" t="s">
        <v>77</v>
      </c>
      <c r="H89" s="3" t="s">
        <v>33</v>
      </c>
      <c r="I89" s="3">
        <v>4.0</v>
      </c>
      <c r="J89" s="3" t="s">
        <v>50</v>
      </c>
      <c r="K89" s="3" t="s">
        <v>34</v>
      </c>
      <c r="L89" s="6" t="s">
        <v>70</v>
      </c>
      <c r="M89" s="3" t="s">
        <v>35</v>
      </c>
      <c r="N89" s="3" t="s">
        <v>335</v>
      </c>
      <c r="O89" s="3" t="s">
        <v>131</v>
      </c>
      <c r="P89" s="3" t="s">
        <v>1088</v>
      </c>
      <c r="Q89" s="3" t="s">
        <v>1089</v>
      </c>
      <c r="R89" s="2"/>
      <c r="S89" s="2"/>
      <c r="T89" s="2"/>
      <c r="U89" s="2"/>
      <c r="V89" s="2"/>
      <c r="W89" s="2"/>
      <c r="X89" s="2"/>
      <c r="Y89" s="2"/>
    </row>
    <row r="90">
      <c r="A90" s="5" t="str">
        <f>IFERROR(__xludf.DUMMYFUNCTION("LEFT(A89, 4) &amp; TEXT(VALUE(REGEXEXTRACT(A89, ""\d+"")) + 1, ""0000"")"),"UMB-0088")</f>
        <v>UMB-0088</v>
      </c>
      <c r="B90" s="3" t="s">
        <v>1007</v>
      </c>
      <c r="C90" s="3" t="s">
        <v>1087</v>
      </c>
      <c r="D90" s="2" t="str">
        <f t="shared" si="1"/>
        <v>ATRAIR | M</v>
      </c>
      <c r="E90" s="3" t="s">
        <v>48</v>
      </c>
      <c r="F90" s="3" t="s">
        <v>29</v>
      </c>
      <c r="G90" s="3" t="s">
        <v>77</v>
      </c>
      <c r="H90" s="3" t="s">
        <v>33</v>
      </c>
      <c r="I90" s="3">
        <v>4.0</v>
      </c>
      <c r="J90" s="3" t="s">
        <v>50</v>
      </c>
      <c r="K90" s="3" t="s">
        <v>34</v>
      </c>
      <c r="L90" s="6" t="s">
        <v>72</v>
      </c>
      <c r="M90" s="3" t="s">
        <v>35</v>
      </c>
      <c r="N90" s="3" t="s">
        <v>337</v>
      </c>
      <c r="O90" s="3" t="s">
        <v>131</v>
      </c>
      <c r="P90" s="3" t="s">
        <v>1088</v>
      </c>
      <c r="Q90" s="3" t="s">
        <v>1089</v>
      </c>
      <c r="R90" s="2"/>
      <c r="S90" s="2"/>
      <c r="T90" s="2"/>
      <c r="U90" s="2"/>
      <c r="V90" s="2"/>
      <c r="W90" s="2"/>
      <c r="X90" s="2"/>
      <c r="Y90" s="2"/>
    </row>
    <row r="91">
      <c r="A91" s="5" t="str">
        <f>IFERROR(__xludf.DUMMYFUNCTION("LEFT(A90, 4) &amp; TEXT(VALUE(REGEXEXTRACT(A90, ""\d+"")) + 1, ""0000"")"),"UMB-0089")</f>
        <v>UMB-0089</v>
      </c>
      <c r="B91" s="3" t="s">
        <v>1007</v>
      </c>
      <c r="C91" s="3" t="s">
        <v>1087</v>
      </c>
      <c r="D91" s="2" t="str">
        <f t="shared" si="1"/>
        <v>ATRAIR | M</v>
      </c>
      <c r="E91" s="3" t="s">
        <v>48</v>
      </c>
      <c r="F91" s="3" t="s">
        <v>30</v>
      </c>
      <c r="G91" s="3" t="s">
        <v>77</v>
      </c>
      <c r="H91" s="3" t="s">
        <v>33</v>
      </c>
      <c r="I91" s="3">
        <v>4.0</v>
      </c>
      <c r="J91" s="3" t="s">
        <v>23</v>
      </c>
      <c r="K91" s="3" t="s">
        <v>34</v>
      </c>
      <c r="L91" s="6" t="s">
        <v>39</v>
      </c>
      <c r="M91" s="3" t="s">
        <v>253</v>
      </c>
      <c r="N91" s="3" t="s">
        <v>339</v>
      </c>
      <c r="O91" s="3" t="s">
        <v>136</v>
      </c>
      <c r="P91" s="3" t="s">
        <v>1088</v>
      </c>
      <c r="Q91" s="3" t="s">
        <v>1089</v>
      </c>
      <c r="R91" s="2"/>
      <c r="S91" s="2"/>
      <c r="T91" s="2"/>
      <c r="U91" s="2"/>
      <c r="V91" s="2"/>
      <c r="W91" s="2"/>
      <c r="X91" s="2"/>
      <c r="Y91" s="2"/>
    </row>
    <row r="92">
      <c r="A92" s="5" t="str">
        <f>IFERROR(__xludf.DUMMYFUNCTION("LEFT(A91, 4) &amp; TEXT(VALUE(REGEXEXTRACT(A91, ""\d+"")) + 1, ""0000"")"),"UMB-0090")</f>
        <v>UMB-0090</v>
      </c>
      <c r="B92" s="3" t="s">
        <v>1007</v>
      </c>
      <c r="C92" s="3" t="s">
        <v>1090</v>
      </c>
      <c r="D92" s="2" t="str">
        <f t="shared" si="1"/>
        <v>EVITAR | M</v>
      </c>
      <c r="E92" s="3" t="s">
        <v>48</v>
      </c>
      <c r="F92" s="3" t="s">
        <v>21</v>
      </c>
      <c r="G92" s="3" t="s">
        <v>77</v>
      </c>
      <c r="H92" s="3" t="s">
        <v>33</v>
      </c>
      <c r="I92" s="3">
        <v>4.0</v>
      </c>
      <c r="J92" s="3" t="s">
        <v>126</v>
      </c>
      <c r="K92" s="3" t="s">
        <v>34</v>
      </c>
      <c r="L92" s="6" t="s">
        <v>65</v>
      </c>
      <c r="M92" s="3" t="s">
        <v>65</v>
      </c>
      <c r="N92" s="3" t="s">
        <v>125</v>
      </c>
      <c r="O92" s="3" t="s">
        <v>126</v>
      </c>
      <c r="P92" s="3" t="s">
        <v>1091</v>
      </c>
      <c r="Q92" s="3" t="s">
        <v>1092</v>
      </c>
      <c r="R92" s="2"/>
      <c r="S92" s="2"/>
      <c r="T92" s="2"/>
      <c r="U92" s="2"/>
      <c r="V92" s="2"/>
      <c r="W92" s="2"/>
      <c r="X92" s="2"/>
      <c r="Y92" s="2"/>
    </row>
    <row r="93">
      <c r="A93" s="5" t="str">
        <f>IFERROR(__xludf.DUMMYFUNCTION("LEFT(A92, 4) &amp; TEXT(VALUE(REGEXEXTRACT(A92, ""\d+"")) + 1, ""0000"")"),"UMB-0091")</f>
        <v>UMB-0091</v>
      </c>
      <c r="B93" s="3" t="s">
        <v>1007</v>
      </c>
      <c r="C93" s="3" t="s">
        <v>1090</v>
      </c>
      <c r="D93" s="2" t="str">
        <f t="shared" si="1"/>
        <v>EVITAR | M</v>
      </c>
      <c r="E93" s="3" t="s">
        <v>48</v>
      </c>
      <c r="F93" s="3" t="s">
        <v>27</v>
      </c>
      <c r="G93" s="3" t="s">
        <v>77</v>
      </c>
      <c r="H93" s="3" t="s">
        <v>33</v>
      </c>
      <c r="I93" s="3">
        <v>4.0</v>
      </c>
      <c r="J93" s="3" t="s">
        <v>126</v>
      </c>
      <c r="K93" s="3" t="s">
        <v>34</v>
      </c>
      <c r="L93" s="6" t="s">
        <v>35</v>
      </c>
      <c r="M93" s="3" t="s">
        <v>65</v>
      </c>
      <c r="N93" s="3" t="s">
        <v>333</v>
      </c>
      <c r="O93" s="3" t="s">
        <v>126</v>
      </c>
      <c r="P93" s="3" t="s">
        <v>1091</v>
      </c>
      <c r="Q93" s="3" t="s">
        <v>1092</v>
      </c>
      <c r="R93" s="2"/>
      <c r="S93" s="2"/>
      <c r="T93" s="2"/>
      <c r="U93" s="2"/>
      <c r="V93" s="2"/>
      <c r="W93" s="2"/>
      <c r="X93" s="2"/>
      <c r="Y93" s="2"/>
    </row>
    <row r="94">
      <c r="A94" s="5" t="str">
        <f>IFERROR(__xludf.DUMMYFUNCTION("LEFT(A93, 4) &amp; TEXT(VALUE(REGEXEXTRACT(A93, ""\d+"")) + 1, ""0000"")"),"UMB-0092")</f>
        <v>UMB-0092</v>
      </c>
      <c r="B94" s="3" t="s">
        <v>1007</v>
      </c>
      <c r="C94" s="3" t="s">
        <v>1090</v>
      </c>
      <c r="D94" s="2" t="str">
        <f t="shared" si="1"/>
        <v>EVITAR | M</v>
      </c>
      <c r="E94" s="3" t="s">
        <v>48</v>
      </c>
      <c r="F94" s="3" t="s">
        <v>28</v>
      </c>
      <c r="G94" s="3" t="s">
        <v>77</v>
      </c>
      <c r="H94" s="3" t="s">
        <v>33</v>
      </c>
      <c r="I94" s="3">
        <v>4.0</v>
      </c>
      <c r="J94" s="3" t="s">
        <v>50</v>
      </c>
      <c r="K94" s="3" t="s">
        <v>34</v>
      </c>
      <c r="L94" s="6" t="s">
        <v>70</v>
      </c>
      <c r="M94" s="3" t="s">
        <v>35</v>
      </c>
      <c r="N94" s="3" t="s">
        <v>335</v>
      </c>
      <c r="O94" s="3" t="s">
        <v>131</v>
      </c>
      <c r="P94" s="3" t="s">
        <v>1091</v>
      </c>
      <c r="Q94" s="3" t="s">
        <v>1092</v>
      </c>
      <c r="R94" s="2"/>
      <c r="S94" s="2"/>
      <c r="T94" s="2"/>
      <c r="U94" s="2"/>
      <c r="V94" s="2"/>
      <c r="W94" s="2"/>
      <c r="X94" s="2"/>
      <c r="Y94" s="2"/>
    </row>
    <row r="95">
      <c r="A95" s="5" t="str">
        <f>IFERROR(__xludf.DUMMYFUNCTION("LEFT(A94, 4) &amp; TEXT(VALUE(REGEXEXTRACT(A94, ""\d+"")) + 1, ""0000"")"),"UMB-0093")</f>
        <v>UMB-0093</v>
      </c>
      <c r="B95" s="3" t="s">
        <v>1007</v>
      </c>
      <c r="C95" s="3" t="s">
        <v>1090</v>
      </c>
      <c r="D95" s="2" t="str">
        <f t="shared" si="1"/>
        <v>EVITAR | M</v>
      </c>
      <c r="E95" s="3" t="s">
        <v>48</v>
      </c>
      <c r="F95" s="3" t="s">
        <v>29</v>
      </c>
      <c r="G95" s="3" t="s">
        <v>77</v>
      </c>
      <c r="H95" s="3" t="s">
        <v>33</v>
      </c>
      <c r="I95" s="3">
        <v>4.0</v>
      </c>
      <c r="J95" s="3" t="s">
        <v>50</v>
      </c>
      <c r="K95" s="3" t="s">
        <v>34</v>
      </c>
      <c r="L95" s="6" t="s">
        <v>72</v>
      </c>
      <c r="M95" s="3" t="s">
        <v>35</v>
      </c>
      <c r="N95" s="3" t="s">
        <v>337</v>
      </c>
      <c r="O95" s="3" t="s">
        <v>131</v>
      </c>
      <c r="P95" s="3" t="s">
        <v>1091</v>
      </c>
      <c r="Q95" s="3" t="s">
        <v>1092</v>
      </c>
      <c r="R95" s="2"/>
      <c r="S95" s="2"/>
      <c r="T95" s="2"/>
      <c r="U95" s="2"/>
      <c r="V95" s="2"/>
      <c r="W95" s="2"/>
      <c r="X95" s="2"/>
      <c r="Y95" s="2"/>
    </row>
    <row r="96">
      <c r="A96" s="5" t="str">
        <f>IFERROR(__xludf.DUMMYFUNCTION("LEFT(A95, 4) &amp; TEXT(VALUE(REGEXEXTRACT(A95, ""\d+"")) + 1, ""0000"")"),"UMB-0094")</f>
        <v>UMB-0094</v>
      </c>
      <c r="B96" s="3" t="s">
        <v>1007</v>
      </c>
      <c r="C96" s="3" t="s">
        <v>1090</v>
      </c>
      <c r="D96" s="2" t="str">
        <f t="shared" si="1"/>
        <v>EVITAR | M</v>
      </c>
      <c r="E96" s="3" t="s">
        <v>48</v>
      </c>
      <c r="F96" s="3" t="s">
        <v>30</v>
      </c>
      <c r="G96" s="3" t="s">
        <v>77</v>
      </c>
      <c r="H96" s="3" t="s">
        <v>33</v>
      </c>
      <c r="I96" s="3">
        <v>4.0</v>
      </c>
      <c r="J96" s="3" t="s">
        <v>23</v>
      </c>
      <c r="K96" s="3" t="s">
        <v>34</v>
      </c>
      <c r="L96" s="6" t="s">
        <v>39</v>
      </c>
      <c r="M96" s="3" t="s">
        <v>253</v>
      </c>
      <c r="N96" s="3" t="s">
        <v>339</v>
      </c>
      <c r="O96" s="3" t="s">
        <v>136</v>
      </c>
      <c r="P96" s="3" t="s">
        <v>1091</v>
      </c>
      <c r="Q96" s="3" t="s">
        <v>1092</v>
      </c>
      <c r="R96" s="2"/>
      <c r="S96" s="2"/>
      <c r="T96" s="2"/>
      <c r="U96" s="2"/>
      <c r="V96" s="2"/>
      <c r="W96" s="2"/>
      <c r="X96" s="2"/>
      <c r="Y96" s="2"/>
    </row>
    <row r="97">
      <c r="A97" s="5" t="str">
        <f>IFERROR(__xludf.DUMMYFUNCTION("LEFT(A96, 4) &amp; TEXT(VALUE(REGEXEXTRACT(A96, ""\d+"")) + 1, ""0000"")"),"UMB-0095")</f>
        <v>UMB-0095</v>
      </c>
      <c r="B97" s="3" t="s">
        <v>1007</v>
      </c>
      <c r="C97" s="3" t="s">
        <v>1093</v>
      </c>
      <c r="D97" s="2" t="str">
        <f t="shared" si="1"/>
        <v>OLHOS NA NUCA | M</v>
      </c>
      <c r="E97" s="3" t="s">
        <v>48</v>
      </c>
      <c r="F97" s="3" t="s">
        <v>21</v>
      </c>
      <c r="G97" s="3" t="s">
        <v>1071</v>
      </c>
      <c r="H97" s="3" t="s">
        <v>33</v>
      </c>
      <c r="I97" s="3">
        <v>4.0</v>
      </c>
      <c r="J97" s="3" t="s">
        <v>126</v>
      </c>
      <c r="K97" s="3" t="s">
        <v>34</v>
      </c>
      <c r="L97" s="6" t="s">
        <v>65</v>
      </c>
      <c r="M97" s="3" t="s">
        <v>65</v>
      </c>
      <c r="N97" s="3" t="s">
        <v>125</v>
      </c>
      <c r="O97" s="3" t="s">
        <v>126</v>
      </c>
      <c r="P97" s="3" t="s">
        <v>1094</v>
      </c>
      <c r="Q97" s="2"/>
      <c r="R97" s="2"/>
      <c r="S97" s="2"/>
      <c r="T97" s="2"/>
      <c r="U97" s="2"/>
      <c r="V97" s="2"/>
      <c r="W97" s="2"/>
      <c r="X97" s="2"/>
      <c r="Y97" s="2"/>
    </row>
    <row r="98">
      <c r="A98" s="5" t="str">
        <f>IFERROR(__xludf.DUMMYFUNCTION("LEFT(A97, 4) &amp; TEXT(VALUE(REGEXEXTRACT(A97, ""\d+"")) + 1, ""0000"")"),"UMB-0096")</f>
        <v>UMB-0096</v>
      </c>
      <c r="B98" s="3" t="s">
        <v>1007</v>
      </c>
      <c r="C98" s="3" t="s">
        <v>1093</v>
      </c>
      <c r="D98" s="2" t="str">
        <f t="shared" si="1"/>
        <v>OLHOS NA NUCA | M</v>
      </c>
      <c r="E98" s="3" t="s">
        <v>48</v>
      </c>
      <c r="F98" s="3" t="s">
        <v>27</v>
      </c>
      <c r="G98" s="3" t="s">
        <v>1071</v>
      </c>
      <c r="H98" s="3" t="s">
        <v>33</v>
      </c>
      <c r="I98" s="3">
        <v>4.0</v>
      </c>
      <c r="J98" s="3" t="s">
        <v>126</v>
      </c>
      <c r="K98" s="3" t="s">
        <v>34</v>
      </c>
      <c r="L98" s="6" t="s">
        <v>35</v>
      </c>
      <c r="M98" s="3" t="s">
        <v>65</v>
      </c>
      <c r="N98" s="3" t="s">
        <v>333</v>
      </c>
      <c r="O98" s="3" t="s">
        <v>126</v>
      </c>
      <c r="P98" s="3" t="s">
        <v>1094</v>
      </c>
      <c r="Q98" s="2"/>
      <c r="R98" s="2"/>
      <c r="S98" s="2"/>
      <c r="T98" s="2"/>
      <c r="U98" s="2"/>
      <c r="V98" s="2"/>
      <c r="W98" s="2"/>
      <c r="X98" s="2"/>
      <c r="Y98" s="2"/>
    </row>
    <row r="99">
      <c r="A99" s="5" t="str">
        <f>IFERROR(__xludf.DUMMYFUNCTION("LEFT(A98, 4) &amp; TEXT(VALUE(REGEXEXTRACT(A98, ""\d+"")) + 1, ""0000"")"),"UMB-0097")</f>
        <v>UMB-0097</v>
      </c>
      <c r="B99" s="3" t="s">
        <v>1007</v>
      </c>
      <c r="C99" s="3" t="s">
        <v>1093</v>
      </c>
      <c r="D99" s="2" t="str">
        <f t="shared" si="1"/>
        <v>OLHOS NA NUCA | M</v>
      </c>
      <c r="E99" s="3" t="s">
        <v>48</v>
      </c>
      <c r="F99" s="3" t="s">
        <v>28</v>
      </c>
      <c r="G99" s="3" t="s">
        <v>1071</v>
      </c>
      <c r="H99" s="3" t="s">
        <v>33</v>
      </c>
      <c r="I99" s="3">
        <v>4.0</v>
      </c>
      <c r="J99" s="3" t="s">
        <v>50</v>
      </c>
      <c r="K99" s="3" t="s">
        <v>34</v>
      </c>
      <c r="L99" s="6" t="s">
        <v>70</v>
      </c>
      <c r="M99" s="3" t="s">
        <v>35</v>
      </c>
      <c r="N99" s="3" t="s">
        <v>335</v>
      </c>
      <c r="O99" s="3" t="s">
        <v>131</v>
      </c>
      <c r="P99" s="3" t="s">
        <v>1094</v>
      </c>
      <c r="Q99" s="2"/>
      <c r="R99" s="2"/>
      <c r="S99" s="2"/>
      <c r="T99" s="2"/>
      <c r="U99" s="2"/>
      <c r="V99" s="2"/>
      <c r="W99" s="2"/>
      <c r="X99" s="2"/>
      <c r="Y99" s="2"/>
    </row>
    <row r="100">
      <c r="A100" s="5" t="str">
        <f>IFERROR(__xludf.DUMMYFUNCTION("LEFT(A99, 4) &amp; TEXT(VALUE(REGEXEXTRACT(A99, ""\d+"")) + 1, ""0000"")"),"UMB-0098")</f>
        <v>UMB-0098</v>
      </c>
      <c r="B100" s="3" t="s">
        <v>1007</v>
      </c>
      <c r="C100" s="3" t="s">
        <v>1093</v>
      </c>
      <c r="D100" s="2" t="str">
        <f t="shared" si="1"/>
        <v>OLHOS NA NUCA | M</v>
      </c>
      <c r="E100" s="3" t="s">
        <v>48</v>
      </c>
      <c r="F100" s="3" t="s">
        <v>29</v>
      </c>
      <c r="G100" s="3" t="s">
        <v>1071</v>
      </c>
      <c r="H100" s="3" t="s">
        <v>33</v>
      </c>
      <c r="I100" s="3">
        <v>4.0</v>
      </c>
      <c r="J100" s="3" t="s">
        <v>50</v>
      </c>
      <c r="K100" s="3" t="s">
        <v>34</v>
      </c>
      <c r="L100" s="6" t="s">
        <v>72</v>
      </c>
      <c r="M100" s="3" t="s">
        <v>35</v>
      </c>
      <c r="N100" s="3" t="s">
        <v>337</v>
      </c>
      <c r="O100" s="3" t="s">
        <v>131</v>
      </c>
      <c r="P100" s="3" t="s">
        <v>1094</v>
      </c>
      <c r="Q100" s="2"/>
      <c r="R100" s="2"/>
      <c r="S100" s="2"/>
      <c r="T100" s="2"/>
      <c r="U100" s="2"/>
      <c r="V100" s="2"/>
      <c r="W100" s="2"/>
      <c r="X100" s="2"/>
      <c r="Y100" s="2"/>
    </row>
    <row r="101">
      <c r="A101" s="5" t="str">
        <f>IFERROR(__xludf.DUMMYFUNCTION("LEFT(A100, 4) &amp; TEXT(VALUE(REGEXEXTRACT(A100, ""\d+"")) + 1, ""0000"")"),"UMB-0099")</f>
        <v>UMB-0099</v>
      </c>
      <c r="B101" s="3" t="s">
        <v>1007</v>
      </c>
      <c r="C101" s="3" t="s">
        <v>1093</v>
      </c>
      <c r="D101" s="2" t="str">
        <f t="shared" si="1"/>
        <v>OLHOS NA NUCA | M</v>
      </c>
      <c r="E101" s="3" t="s">
        <v>48</v>
      </c>
      <c r="F101" s="3" t="s">
        <v>30</v>
      </c>
      <c r="G101" s="3" t="s">
        <v>1071</v>
      </c>
      <c r="H101" s="3" t="s">
        <v>33</v>
      </c>
      <c r="I101" s="3">
        <v>4.0</v>
      </c>
      <c r="J101" s="3" t="s">
        <v>23</v>
      </c>
      <c r="K101" s="3" t="s">
        <v>34</v>
      </c>
      <c r="L101" s="6" t="s">
        <v>39</v>
      </c>
      <c r="M101" s="3" t="s">
        <v>253</v>
      </c>
      <c r="N101" s="3" t="s">
        <v>339</v>
      </c>
      <c r="O101" s="3" t="s">
        <v>136</v>
      </c>
      <c r="P101" s="3" t="s">
        <v>1094</v>
      </c>
      <c r="Q101" s="2"/>
      <c r="R101" s="2"/>
      <c r="S101" s="2"/>
      <c r="T101" s="2"/>
      <c r="U101" s="2"/>
      <c r="V101" s="2"/>
      <c r="W101" s="2"/>
      <c r="X101" s="2"/>
      <c r="Y101" s="2"/>
    </row>
    <row r="102">
      <c r="Q102" s="2"/>
      <c r="R102" s="2"/>
      <c r="S102" s="2"/>
      <c r="T102" s="2"/>
      <c r="U102" s="2"/>
      <c r="V102" s="2"/>
      <c r="W102" s="2"/>
      <c r="X102" s="2"/>
      <c r="Y102" s="2"/>
    </row>
    <row r="103">
      <c r="Q103" s="2"/>
      <c r="R103" s="2"/>
      <c r="S103" s="2"/>
      <c r="T103" s="2"/>
      <c r="U103" s="2"/>
      <c r="V103" s="2"/>
      <c r="W103" s="2"/>
      <c r="X103" s="2"/>
      <c r="Y103" s="2"/>
    </row>
    <row r="104">
      <c r="Q104" s="2"/>
      <c r="R104" s="2"/>
      <c r="S104" s="2"/>
      <c r="T104" s="2"/>
      <c r="U104" s="2"/>
      <c r="V104" s="2"/>
      <c r="W104" s="2"/>
      <c r="X104" s="2"/>
      <c r="Y104" s="2"/>
    </row>
    <row r="105">
      <c r="Q105" s="2"/>
      <c r="R105" s="2"/>
      <c r="S105" s="2"/>
      <c r="T105" s="2"/>
      <c r="U105" s="2"/>
      <c r="V105" s="2"/>
      <c r="W105" s="2"/>
      <c r="X105" s="2"/>
      <c r="Y105" s="2"/>
    </row>
    <row r="106">
      <c r="Q106" s="2"/>
      <c r="R106" s="2"/>
      <c r="S106" s="2"/>
      <c r="T106" s="2"/>
      <c r="U106" s="2"/>
      <c r="V106" s="2"/>
      <c r="W106" s="2"/>
      <c r="X106" s="2"/>
      <c r="Y106" s="2"/>
    </row>
    <row r="107">
      <c r="Q107" s="2"/>
      <c r="R107" s="2"/>
      <c r="S107" s="2"/>
      <c r="T107" s="2"/>
      <c r="U107" s="2"/>
      <c r="V107" s="2"/>
      <c r="W107" s="2"/>
      <c r="X107" s="2"/>
      <c r="Y107" s="2"/>
    </row>
    <row r="108">
      <c r="Q108" s="2"/>
      <c r="R108" s="2"/>
      <c r="S108" s="2"/>
      <c r="T108" s="2"/>
      <c r="U108" s="2"/>
      <c r="V108" s="2"/>
      <c r="W108" s="2"/>
      <c r="X108" s="2"/>
      <c r="Y108" s="2"/>
    </row>
    <row r="109">
      <c r="Q109" s="2"/>
      <c r="R109" s="2"/>
      <c r="S109" s="2"/>
      <c r="T109" s="2"/>
      <c r="U109" s="2"/>
      <c r="V109" s="2"/>
      <c r="W109" s="2"/>
      <c r="X109" s="2"/>
      <c r="Y109" s="2"/>
    </row>
    <row r="110">
      <c r="Q110" s="2"/>
      <c r="R110" s="2"/>
      <c r="S110" s="2"/>
      <c r="T110" s="2"/>
      <c r="U110" s="2"/>
      <c r="V110" s="2"/>
      <c r="W110" s="2"/>
      <c r="X110" s="2"/>
      <c r="Y110" s="2"/>
    </row>
    <row r="111">
      <c r="Q111" s="2"/>
      <c r="R111" s="2"/>
      <c r="S111" s="2"/>
      <c r="T111" s="2"/>
      <c r="U111" s="2"/>
      <c r="V111" s="2"/>
      <c r="W111" s="2"/>
      <c r="X111" s="2"/>
      <c r="Y111" s="2"/>
    </row>
    <row r="112">
      <c r="Q112" s="2"/>
      <c r="R112" s="2"/>
      <c r="S112" s="2"/>
      <c r="T112" s="2"/>
      <c r="U112" s="2"/>
      <c r="V112" s="2"/>
      <c r="W112" s="2"/>
      <c r="X112" s="2"/>
      <c r="Y112" s="2"/>
    </row>
    <row r="113">
      <c r="Q113" s="2"/>
      <c r="R113" s="2"/>
      <c r="S113" s="2"/>
      <c r="T113" s="2"/>
      <c r="U113" s="2"/>
      <c r="V113" s="2"/>
      <c r="W113" s="2"/>
      <c r="X113" s="2"/>
      <c r="Y113" s="2"/>
    </row>
    <row r="114">
      <c r="Q114" s="2"/>
      <c r="R114" s="2"/>
      <c r="S114" s="2"/>
      <c r="T114" s="2"/>
      <c r="U114" s="2"/>
      <c r="V114" s="2"/>
      <c r="W114" s="2"/>
      <c r="X114" s="2"/>
      <c r="Y114" s="2"/>
    </row>
    <row r="115">
      <c r="Q115" s="2"/>
      <c r="R115" s="2"/>
      <c r="S115" s="2"/>
      <c r="T115" s="2"/>
      <c r="U115" s="2"/>
      <c r="V115" s="2"/>
      <c r="W115" s="2"/>
      <c r="X115" s="2"/>
      <c r="Y115" s="2"/>
    </row>
    <row r="116">
      <c r="Q116" s="2"/>
      <c r="R116" s="2"/>
      <c r="S116" s="2"/>
      <c r="T116" s="2"/>
      <c r="U116" s="2"/>
      <c r="V116" s="2"/>
      <c r="W116" s="2"/>
      <c r="X116" s="2"/>
      <c r="Y116" s="2"/>
    </row>
    <row r="117">
      <c r="Q117" s="2"/>
      <c r="R117" s="2"/>
      <c r="S117" s="2"/>
      <c r="T117" s="2"/>
      <c r="U117" s="2"/>
      <c r="V117" s="2"/>
      <c r="W117" s="2"/>
      <c r="X117" s="2"/>
      <c r="Y117" s="2"/>
    </row>
    <row r="118">
      <c r="Q118" s="2"/>
      <c r="R118" s="2"/>
      <c r="S118" s="2"/>
      <c r="T118" s="2"/>
      <c r="U118" s="2"/>
      <c r="V118" s="2"/>
      <c r="W118" s="2"/>
      <c r="X118" s="2"/>
      <c r="Y118" s="2"/>
    </row>
    <row r="119">
      <c r="Q119" s="2"/>
      <c r="R119" s="2"/>
      <c r="S119" s="2"/>
      <c r="T119" s="2"/>
      <c r="U119" s="2"/>
      <c r="V119" s="2"/>
      <c r="W119" s="2"/>
      <c r="X119" s="2"/>
      <c r="Y119" s="2"/>
    </row>
    <row r="120">
      <c r="Q120" s="2"/>
      <c r="R120" s="2"/>
      <c r="S120" s="2"/>
      <c r="T120" s="2"/>
      <c r="U120" s="2"/>
      <c r="V120" s="2"/>
      <c r="W120" s="2"/>
      <c r="X120" s="2"/>
      <c r="Y120" s="2"/>
    </row>
    <row r="121">
      <c r="Q121" s="2"/>
      <c r="R121" s="2"/>
      <c r="S121" s="2"/>
      <c r="T121" s="2"/>
      <c r="U121" s="2"/>
      <c r="V121" s="2"/>
      <c r="W121" s="2"/>
      <c r="X121" s="2"/>
      <c r="Y121" s="2"/>
    </row>
    <row r="122">
      <c r="Q122" s="2"/>
      <c r="R122" s="2"/>
      <c r="S122" s="2"/>
      <c r="T122" s="2"/>
      <c r="U122" s="2"/>
      <c r="V122" s="2"/>
      <c r="W122" s="2"/>
      <c r="X122" s="2"/>
      <c r="Y122" s="2"/>
    </row>
    <row r="123">
      <c r="Q123" s="2"/>
      <c r="R123" s="2"/>
      <c r="S123" s="2"/>
      <c r="T123" s="2"/>
      <c r="U123" s="2"/>
      <c r="V123" s="2"/>
      <c r="W123" s="2"/>
      <c r="X123" s="2"/>
      <c r="Y123" s="2"/>
    </row>
    <row r="124">
      <c r="Q124" s="2"/>
      <c r="R124" s="2"/>
      <c r="S124" s="2"/>
      <c r="T124" s="2"/>
      <c r="U124" s="2"/>
      <c r="V124" s="2"/>
      <c r="W124" s="2"/>
      <c r="X124" s="2"/>
      <c r="Y124" s="2"/>
    </row>
    <row r="125">
      <c r="Q125" s="2"/>
      <c r="R125" s="2"/>
      <c r="S125" s="2"/>
      <c r="T125" s="2"/>
      <c r="U125" s="2"/>
      <c r="V125" s="2"/>
      <c r="W125" s="2"/>
      <c r="X125" s="2"/>
      <c r="Y125" s="2"/>
    </row>
    <row r="126">
      <c r="Q126" s="2"/>
      <c r="R126" s="2"/>
      <c r="S126" s="2"/>
      <c r="T126" s="2"/>
      <c r="U126" s="2"/>
      <c r="V126" s="2"/>
      <c r="W126" s="2"/>
      <c r="X126" s="2"/>
      <c r="Y126" s="2"/>
    </row>
    <row r="127">
      <c r="Q127" s="2"/>
      <c r="R127" s="2"/>
      <c r="S127" s="2"/>
      <c r="T127" s="2"/>
      <c r="U127" s="2"/>
      <c r="V127" s="2"/>
      <c r="W127" s="2"/>
      <c r="X127" s="2"/>
      <c r="Y127" s="2"/>
    </row>
    <row r="128">
      <c r="Q128" s="2"/>
      <c r="R128" s="2"/>
      <c r="S128" s="2"/>
      <c r="T128" s="2"/>
      <c r="U128" s="2"/>
      <c r="V128" s="2"/>
      <c r="W128" s="2"/>
      <c r="X128" s="2"/>
      <c r="Y128" s="2"/>
    </row>
    <row r="129">
      <c r="Q129" s="2"/>
      <c r="R129" s="2"/>
      <c r="S129" s="2"/>
      <c r="T129" s="2"/>
      <c r="U129" s="2"/>
      <c r="V129" s="2"/>
      <c r="W129" s="2"/>
      <c r="X129" s="2"/>
      <c r="Y129" s="2"/>
    </row>
    <row r="130">
      <c r="Q130" s="2"/>
      <c r="R130" s="2"/>
      <c r="S130" s="2"/>
      <c r="T130" s="2"/>
      <c r="U130" s="2"/>
      <c r="V130" s="2"/>
      <c r="W130" s="2"/>
      <c r="X130" s="2"/>
      <c r="Y130" s="2"/>
    </row>
    <row r="131">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
    <col customWidth="1" min="2" max="2" width="8.13"/>
    <col customWidth="1" min="3" max="3" width="7.38"/>
    <col customWidth="1" min="4" max="4" width="12.13"/>
    <col customWidth="1" min="5" max="5" width="9.13"/>
    <col customWidth="1" min="6" max="6" width="7.75"/>
    <col customWidth="1" min="7" max="7" width="6.75"/>
    <col customWidth="1" min="8" max="8" width="11.75"/>
    <col customWidth="1" min="9" max="9" width="6.75"/>
    <col customWidth="1" min="10" max="10" width="9.63"/>
    <col customWidth="1" min="11" max="11" width="10.63"/>
    <col customWidth="1" min="12" max="12" width="7.5"/>
    <col customWidth="1" min="13" max="13" width="10.5"/>
    <col customWidth="1" min="14" max="14" width="12.88"/>
    <col customWidth="1" min="15" max="15" width="9.0"/>
    <col customWidth="1" min="16" max="16" width="27.63"/>
    <col customWidth="1" min="17" max="17" width="29.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c r="A2" s="16" t="s">
        <v>1095</v>
      </c>
      <c r="B2" s="3" t="s">
        <v>1096</v>
      </c>
      <c r="C2" s="3" t="s">
        <v>1097</v>
      </c>
      <c r="D2" s="2" t="str">
        <f t="shared" ref="D2:D26" si="1">UPPER(CONCATENATE(C2, " | ",E2))</f>
        <v>ACALMAR FERA | F</v>
      </c>
      <c r="E2" s="3" t="s">
        <v>20</v>
      </c>
      <c r="F2" s="3" t="s">
        <v>21</v>
      </c>
      <c r="G2" s="3" t="s">
        <v>77</v>
      </c>
      <c r="H2" s="3" t="s">
        <v>33</v>
      </c>
      <c r="I2" s="3">
        <v>2.0</v>
      </c>
      <c r="J2" s="3" t="s">
        <v>23</v>
      </c>
      <c r="K2" s="3" t="s">
        <v>95</v>
      </c>
      <c r="L2" s="6" t="s">
        <v>65</v>
      </c>
      <c r="M2" s="3" t="s">
        <v>124</v>
      </c>
      <c r="N2" s="3" t="s">
        <v>1098</v>
      </c>
      <c r="O2" s="3" t="s">
        <v>1099</v>
      </c>
      <c r="P2" s="19" t="s">
        <v>1100</v>
      </c>
      <c r="Q2" s="3" t="s">
        <v>1101</v>
      </c>
      <c r="R2" s="2"/>
      <c r="S2" s="2"/>
      <c r="T2" s="2"/>
      <c r="U2" s="2"/>
      <c r="V2" s="2"/>
      <c r="W2" s="2"/>
      <c r="X2" s="2"/>
      <c r="Y2" s="2"/>
      <c r="Z2" s="2"/>
    </row>
    <row r="3">
      <c r="A3" s="5" t="str">
        <f>IFERROR(__xludf.DUMMYFUNCTION("LEFT(A2, 4) &amp; TEXT(VALUE(REGEXEXTRACT(A2, ""\d+"")) + 1, ""0000"")"),"ZOO-0001")</f>
        <v>ZOO-0001</v>
      </c>
      <c r="B3" s="3" t="s">
        <v>1096</v>
      </c>
      <c r="C3" s="3" t="s">
        <v>1097</v>
      </c>
      <c r="D3" s="2" t="str">
        <f t="shared" si="1"/>
        <v>ACALMAR FERA | F</v>
      </c>
      <c r="E3" s="3" t="s">
        <v>20</v>
      </c>
      <c r="F3" s="3" t="s">
        <v>27</v>
      </c>
      <c r="G3" s="3" t="s">
        <v>77</v>
      </c>
      <c r="H3" s="3" t="s">
        <v>33</v>
      </c>
      <c r="I3" s="3">
        <v>2.0</v>
      </c>
      <c r="J3" s="3" t="s">
        <v>23</v>
      </c>
      <c r="K3" s="3" t="s">
        <v>95</v>
      </c>
      <c r="L3" s="6" t="s">
        <v>35</v>
      </c>
      <c r="M3" s="3" t="s">
        <v>124</v>
      </c>
      <c r="N3" s="3" t="s">
        <v>1098</v>
      </c>
      <c r="O3" s="3" t="s">
        <v>1099</v>
      </c>
      <c r="P3" s="19" t="s">
        <v>1100</v>
      </c>
      <c r="Q3" s="3" t="s">
        <v>1101</v>
      </c>
      <c r="R3" s="2"/>
      <c r="S3" s="2"/>
      <c r="T3" s="2"/>
      <c r="U3" s="2"/>
      <c r="V3" s="2"/>
      <c r="W3" s="2"/>
      <c r="X3" s="2"/>
      <c r="Y3" s="2"/>
      <c r="Z3" s="2"/>
    </row>
    <row r="4">
      <c r="A4" s="5" t="str">
        <f>IFERROR(__xludf.DUMMYFUNCTION("LEFT(A3, 4) &amp; TEXT(VALUE(REGEXEXTRACT(A3, ""\d+"")) + 1, ""0000"")"),"ZOO-0002")</f>
        <v>ZOO-0002</v>
      </c>
      <c r="B4" s="3" t="s">
        <v>1096</v>
      </c>
      <c r="C4" s="3" t="s">
        <v>1097</v>
      </c>
      <c r="D4" s="2" t="str">
        <f t="shared" si="1"/>
        <v>ACALMAR FERA | F</v>
      </c>
      <c r="E4" s="3" t="s">
        <v>20</v>
      </c>
      <c r="F4" s="3" t="s">
        <v>28</v>
      </c>
      <c r="G4" s="3" t="s">
        <v>77</v>
      </c>
      <c r="H4" s="3" t="s">
        <v>33</v>
      </c>
      <c r="I4" s="3">
        <v>2.0</v>
      </c>
      <c r="J4" s="3" t="s">
        <v>23</v>
      </c>
      <c r="K4" s="3" t="s">
        <v>95</v>
      </c>
      <c r="L4" s="6" t="s">
        <v>70</v>
      </c>
      <c r="M4" s="3" t="s">
        <v>124</v>
      </c>
      <c r="N4" s="3" t="s">
        <v>1098</v>
      </c>
      <c r="O4" s="3" t="s">
        <v>1099</v>
      </c>
      <c r="P4" s="19" t="s">
        <v>1100</v>
      </c>
      <c r="Q4" s="3" t="s">
        <v>1101</v>
      </c>
      <c r="R4" s="2"/>
      <c r="S4" s="2"/>
      <c r="T4" s="2"/>
      <c r="U4" s="2"/>
      <c r="V4" s="2"/>
      <c r="W4" s="2"/>
      <c r="X4" s="2"/>
      <c r="Y4" s="2"/>
      <c r="Z4" s="2"/>
    </row>
    <row r="5">
      <c r="A5" s="5" t="str">
        <f>IFERROR(__xludf.DUMMYFUNCTION("LEFT(A4, 4) &amp; TEXT(VALUE(REGEXEXTRACT(A4, ""\d+"")) + 1, ""0000"")"),"ZOO-0003")</f>
        <v>ZOO-0003</v>
      </c>
      <c r="B5" s="3" t="s">
        <v>1096</v>
      </c>
      <c r="C5" s="3" t="s">
        <v>1097</v>
      </c>
      <c r="D5" s="2" t="str">
        <f t="shared" si="1"/>
        <v>ACALMAR FERA | F</v>
      </c>
      <c r="E5" s="3" t="s">
        <v>20</v>
      </c>
      <c r="F5" s="3" t="s">
        <v>29</v>
      </c>
      <c r="G5" s="3" t="s">
        <v>77</v>
      </c>
      <c r="H5" s="3" t="s">
        <v>33</v>
      </c>
      <c r="I5" s="3">
        <v>2.0</v>
      </c>
      <c r="J5" s="3" t="s">
        <v>23</v>
      </c>
      <c r="K5" s="3" t="s">
        <v>95</v>
      </c>
      <c r="L5" s="6" t="s">
        <v>72</v>
      </c>
      <c r="M5" s="3" t="s">
        <v>124</v>
      </c>
      <c r="N5" s="3" t="s">
        <v>1098</v>
      </c>
      <c r="O5" s="3" t="s">
        <v>1099</v>
      </c>
      <c r="P5" s="19" t="s">
        <v>1100</v>
      </c>
      <c r="Q5" s="3" t="s">
        <v>1101</v>
      </c>
      <c r="R5" s="2"/>
      <c r="S5" s="2"/>
      <c r="T5" s="2"/>
      <c r="U5" s="2"/>
      <c r="V5" s="2"/>
      <c r="W5" s="2"/>
      <c r="X5" s="2"/>
      <c r="Y5" s="2"/>
      <c r="Z5" s="2"/>
    </row>
    <row r="6">
      <c r="A6" s="5" t="str">
        <f>IFERROR(__xludf.DUMMYFUNCTION("LEFT(A5, 4) &amp; TEXT(VALUE(REGEXEXTRACT(A5, ""\d+"")) + 1, ""0000"")"),"ZOO-0004")</f>
        <v>ZOO-0004</v>
      </c>
      <c r="B6" s="3" t="s">
        <v>1096</v>
      </c>
      <c r="C6" s="3" t="s">
        <v>1097</v>
      </c>
      <c r="D6" s="2" t="str">
        <f t="shared" si="1"/>
        <v>ACALMAR FERA | F</v>
      </c>
      <c r="E6" s="3" t="s">
        <v>20</v>
      </c>
      <c r="F6" s="3" t="s">
        <v>30</v>
      </c>
      <c r="G6" s="3" t="s">
        <v>77</v>
      </c>
      <c r="H6" s="3" t="s">
        <v>33</v>
      </c>
      <c r="I6" s="3">
        <v>2.0</v>
      </c>
      <c r="J6" s="3" t="s">
        <v>23</v>
      </c>
      <c r="K6" s="3" t="s">
        <v>95</v>
      </c>
      <c r="L6" s="6" t="s">
        <v>39</v>
      </c>
      <c r="M6" s="3" t="s">
        <v>124</v>
      </c>
      <c r="N6" s="3" t="s">
        <v>1098</v>
      </c>
      <c r="O6" s="3" t="s">
        <v>1099</v>
      </c>
      <c r="P6" s="19" t="s">
        <v>1100</v>
      </c>
      <c r="Q6" s="3" t="s">
        <v>1101</v>
      </c>
      <c r="R6" s="2"/>
      <c r="S6" s="2"/>
      <c r="T6" s="2"/>
      <c r="U6" s="2"/>
      <c r="V6" s="2"/>
      <c r="W6" s="2"/>
      <c r="X6" s="2"/>
      <c r="Y6" s="2"/>
      <c r="Z6" s="2"/>
    </row>
    <row r="7">
      <c r="A7" s="5" t="str">
        <f>IFERROR(__xludf.DUMMYFUNCTION("LEFT(A6, 4) &amp; TEXT(VALUE(REGEXEXTRACT(A6, ""\d+"")) + 1, ""0000"")"),"ZOO-0005")</f>
        <v>ZOO-0005</v>
      </c>
      <c r="B7" s="3" t="s">
        <v>1096</v>
      </c>
      <c r="C7" s="3" t="s">
        <v>1102</v>
      </c>
      <c r="D7" s="2" t="str">
        <f t="shared" si="1"/>
        <v>MESTRAR FERA | F</v>
      </c>
      <c r="E7" s="3" t="s">
        <v>20</v>
      </c>
      <c r="F7" s="3" t="s">
        <v>21</v>
      </c>
      <c r="G7" s="3" t="s">
        <v>329</v>
      </c>
      <c r="H7" s="3" t="s">
        <v>33</v>
      </c>
      <c r="I7" s="3">
        <v>2.0</v>
      </c>
      <c r="J7" s="3" t="s">
        <v>50</v>
      </c>
      <c r="K7" s="3" t="s">
        <v>95</v>
      </c>
      <c r="L7" s="6" t="s">
        <v>65</v>
      </c>
      <c r="M7" s="3" t="s">
        <v>124</v>
      </c>
      <c r="N7" s="3" t="s">
        <v>1098</v>
      </c>
      <c r="O7" s="3" t="s">
        <v>344</v>
      </c>
      <c r="P7" s="3" t="s">
        <v>1103</v>
      </c>
      <c r="Q7" s="3" t="s">
        <v>1104</v>
      </c>
      <c r="R7" s="2"/>
      <c r="S7" s="2"/>
      <c r="T7" s="2"/>
      <c r="U7" s="2"/>
      <c r="V7" s="2"/>
      <c r="W7" s="2"/>
      <c r="X7" s="2"/>
      <c r="Y7" s="2"/>
      <c r="Z7" s="2"/>
    </row>
    <row r="8">
      <c r="A8" s="5" t="str">
        <f>IFERROR(__xludf.DUMMYFUNCTION("LEFT(A7, 4) &amp; TEXT(VALUE(REGEXEXTRACT(A7, ""\d+"")) + 1, ""0000"")"),"ZOO-0006")</f>
        <v>ZOO-0006</v>
      </c>
      <c r="B8" s="3" t="s">
        <v>1096</v>
      </c>
      <c r="C8" s="3" t="s">
        <v>1102</v>
      </c>
      <c r="D8" s="2" t="str">
        <f t="shared" si="1"/>
        <v>MESTRAR FERA | F</v>
      </c>
      <c r="E8" s="3" t="s">
        <v>20</v>
      </c>
      <c r="F8" s="3" t="s">
        <v>27</v>
      </c>
      <c r="G8" s="3" t="s">
        <v>329</v>
      </c>
      <c r="H8" s="3" t="s">
        <v>33</v>
      </c>
      <c r="I8" s="3">
        <v>2.0</v>
      </c>
      <c r="J8" s="3" t="s">
        <v>50</v>
      </c>
      <c r="K8" s="3" t="s">
        <v>95</v>
      </c>
      <c r="L8" s="6" t="s">
        <v>35</v>
      </c>
      <c r="M8" s="3" t="s">
        <v>124</v>
      </c>
      <c r="N8" s="3" t="s">
        <v>1098</v>
      </c>
      <c r="O8" s="3" t="s">
        <v>344</v>
      </c>
      <c r="P8" s="3" t="s">
        <v>1103</v>
      </c>
      <c r="Q8" s="3" t="s">
        <v>1104</v>
      </c>
      <c r="R8" s="2"/>
      <c r="S8" s="2"/>
      <c r="T8" s="2"/>
      <c r="U8" s="2"/>
      <c r="V8" s="2"/>
      <c r="W8" s="2"/>
      <c r="X8" s="2"/>
      <c r="Y8" s="2"/>
      <c r="Z8" s="2"/>
    </row>
    <row r="9">
      <c r="A9" s="5" t="str">
        <f>IFERROR(__xludf.DUMMYFUNCTION("LEFT(A8, 4) &amp; TEXT(VALUE(REGEXEXTRACT(A8, ""\d+"")) + 1, ""0000"")"),"ZOO-0007")</f>
        <v>ZOO-0007</v>
      </c>
      <c r="B9" s="3" t="s">
        <v>1096</v>
      </c>
      <c r="C9" s="3" t="s">
        <v>1102</v>
      </c>
      <c r="D9" s="2" t="str">
        <f t="shared" si="1"/>
        <v>MESTRAR FERA | F</v>
      </c>
      <c r="E9" s="3" t="s">
        <v>20</v>
      </c>
      <c r="F9" s="3" t="s">
        <v>28</v>
      </c>
      <c r="G9" s="3" t="s">
        <v>329</v>
      </c>
      <c r="H9" s="3" t="s">
        <v>33</v>
      </c>
      <c r="I9" s="3">
        <v>2.0</v>
      </c>
      <c r="J9" s="3" t="s">
        <v>50</v>
      </c>
      <c r="K9" s="3" t="s">
        <v>95</v>
      </c>
      <c r="L9" s="6" t="s">
        <v>70</v>
      </c>
      <c r="M9" s="3" t="s">
        <v>124</v>
      </c>
      <c r="N9" s="3" t="s">
        <v>1098</v>
      </c>
      <c r="O9" s="3" t="s">
        <v>344</v>
      </c>
      <c r="P9" s="3" t="s">
        <v>1103</v>
      </c>
      <c r="Q9" s="3" t="s">
        <v>1104</v>
      </c>
      <c r="R9" s="2"/>
      <c r="S9" s="2"/>
      <c r="T9" s="2"/>
      <c r="U9" s="2"/>
      <c r="V9" s="2"/>
      <c r="W9" s="2"/>
      <c r="X9" s="2"/>
      <c r="Y9" s="2"/>
      <c r="Z9" s="2"/>
    </row>
    <row r="10">
      <c r="A10" s="5" t="str">
        <f>IFERROR(__xludf.DUMMYFUNCTION("LEFT(A9, 4) &amp; TEXT(VALUE(REGEXEXTRACT(A9, ""\d+"")) + 1, ""0000"")"),"ZOO-0008")</f>
        <v>ZOO-0008</v>
      </c>
      <c r="B10" s="3" t="s">
        <v>1096</v>
      </c>
      <c r="C10" s="3" t="s">
        <v>1102</v>
      </c>
      <c r="D10" s="2" t="str">
        <f t="shared" si="1"/>
        <v>MESTRAR FERA | F</v>
      </c>
      <c r="E10" s="3" t="s">
        <v>20</v>
      </c>
      <c r="F10" s="3" t="s">
        <v>29</v>
      </c>
      <c r="G10" s="3" t="s">
        <v>329</v>
      </c>
      <c r="H10" s="3" t="s">
        <v>33</v>
      </c>
      <c r="I10" s="3">
        <v>2.0</v>
      </c>
      <c r="J10" s="3" t="s">
        <v>50</v>
      </c>
      <c r="K10" s="3" t="s">
        <v>95</v>
      </c>
      <c r="L10" s="6" t="s">
        <v>72</v>
      </c>
      <c r="M10" s="3" t="s">
        <v>124</v>
      </c>
      <c r="N10" s="3" t="s">
        <v>1098</v>
      </c>
      <c r="O10" s="3" t="s">
        <v>344</v>
      </c>
      <c r="P10" s="3" t="s">
        <v>1103</v>
      </c>
      <c r="Q10" s="3" t="s">
        <v>1104</v>
      </c>
      <c r="R10" s="2"/>
      <c r="S10" s="2"/>
      <c r="T10" s="2"/>
      <c r="U10" s="2"/>
      <c r="V10" s="2"/>
      <c r="W10" s="2"/>
      <c r="X10" s="2"/>
      <c r="Y10" s="2"/>
      <c r="Z10" s="2"/>
    </row>
    <row r="11">
      <c r="A11" s="5" t="str">
        <f>IFERROR(__xludf.DUMMYFUNCTION("LEFT(A10, 4) &amp; TEXT(VALUE(REGEXEXTRACT(A10, ""\d+"")) + 1, ""0000"")"),"ZOO-0009")</f>
        <v>ZOO-0009</v>
      </c>
      <c r="B11" s="3" t="s">
        <v>1096</v>
      </c>
      <c r="C11" s="3" t="s">
        <v>1102</v>
      </c>
      <c r="D11" s="2" t="str">
        <f t="shared" si="1"/>
        <v>MESTRAR FERA | F</v>
      </c>
      <c r="E11" s="3" t="s">
        <v>20</v>
      </c>
      <c r="F11" s="3" t="s">
        <v>30</v>
      </c>
      <c r="G11" s="3" t="s">
        <v>329</v>
      </c>
      <c r="H11" s="3" t="s">
        <v>33</v>
      </c>
      <c r="I11" s="3">
        <v>2.0</v>
      </c>
      <c r="J11" s="3" t="s">
        <v>23</v>
      </c>
      <c r="K11" s="3" t="s">
        <v>95</v>
      </c>
      <c r="L11" s="6" t="s">
        <v>39</v>
      </c>
      <c r="M11" s="3" t="s">
        <v>124</v>
      </c>
      <c r="N11" s="3" t="s">
        <v>1098</v>
      </c>
      <c r="O11" s="3" t="s">
        <v>344</v>
      </c>
      <c r="P11" s="3" t="s">
        <v>1103</v>
      </c>
      <c r="Q11" s="3" t="s">
        <v>1104</v>
      </c>
      <c r="R11" s="2"/>
      <c r="S11" s="2"/>
      <c r="T11" s="2"/>
      <c r="U11" s="2"/>
      <c r="V11" s="2"/>
      <c r="W11" s="2"/>
      <c r="X11" s="2"/>
      <c r="Y11" s="2"/>
      <c r="Z11" s="2"/>
    </row>
    <row r="12">
      <c r="A12" s="5" t="str">
        <f>IFERROR(__xludf.DUMMYFUNCTION("LEFT(A11, 4) &amp; TEXT(VALUE(REGEXEXTRACT(A11, ""\d+"")) + 1, ""0000"")"),"ZOO-0010")</f>
        <v>ZOO-0010</v>
      </c>
      <c r="B12" s="3" t="s">
        <v>1096</v>
      </c>
      <c r="C12" s="3" t="s">
        <v>1105</v>
      </c>
      <c r="D12" s="2" t="str">
        <f t="shared" si="1"/>
        <v>LINKAR COM FERA | M</v>
      </c>
      <c r="E12" s="3" t="s">
        <v>48</v>
      </c>
      <c r="F12" s="3" t="s">
        <v>21</v>
      </c>
      <c r="G12" s="3" t="s">
        <v>22</v>
      </c>
      <c r="H12" s="3" t="s">
        <v>1106</v>
      </c>
      <c r="I12" s="3">
        <v>4.0</v>
      </c>
      <c r="J12" s="3" t="s">
        <v>50</v>
      </c>
      <c r="K12" s="3" t="s">
        <v>95</v>
      </c>
      <c r="L12" s="6" t="s">
        <v>65</v>
      </c>
      <c r="M12" s="3" t="s">
        <v>124</v>
      </c>
      <c r="N12" s="3" t="s">
        <v>1107</v>
      </c>
      <c r="O12" s="3" t="s">
        <v>61</v>
      </c>
      <c r="P12" s="3" t="s">
        <v>1108</v>
      </c>
      <c r="Q12" s="3" t="s">
        <v>1109</v>
      </c>
      <c r="R12" s="2"/>
      <c r="S12" s="2"/>
      <c r="T12" s="2"/>
      <c r="U12" s="2"/>
      <c r="V12" s="2"/>
      <c r="W12" s="2"/>
      <c r="X12" s="2"/>
      <c r="Y12" s="2"/>
      <c r="Z12" s="2"/>
    </row>
    <row r="13">
      <c r="A13" s="5" t="str">
        <f>IFERROR(__xludf.DUMMYFUNCTION("LEFT(A12, 4) &amp; TEXT(VALUE(REGEXEXTRACT(A12, ""\d+"")) + 1, ""0000"")"),"ZOO-0011")</f>
        <v>ZOO-0011</v>
      </c>
      <c r="B13" s="3" t="s">
        <v>1096</v>
      </c>
      <c r="C13" s="3" t="s">
        <v>1105</v>
      </c>
      <c r="D13" s="2" t="str">
        <f t="shared" si="1"/>
        <v>LINKAR COM FERA | M</v>
      </c>
      <c r="E13" s="3" t="s">
        <v>48</v>
      </c>
      <c r="F13" s="3" t="s">
        <v>27</v>
      </c>
      <c r="G13" s="3" t="s">
        <v>22</v>
      </c>
      <c r="H13" s="3" t="s">
        <v>1106</v>
      </c>
      <c r="I13" s="3">
        <v>4.0</v>
      </c>
      <c r="J13" s="3" t="s">
        <v>50</v>
      </c>
      <c r="K13" s="3" t="s">
        <v>95</v>
      </c>
      <c r="L13" s="6" t="s">
        <v>35</v>
      </c>
      <c r="M13" s="3" t="s">
        <v>124</v>
      </c>
      <c r="N13" s="3" t="s">
        <v>1110</v>
      </c>
      <c r="O13" s="3" t="s">
        <v>294</v>
      </c>
      <c r="P13" s="3" t="s">
        <v>1108</v>
      </c>
      <c r="Q13" s="3" t="s">
        <v>1109</v>
      </c>
      <c r="R13" s="2"/>
      <c r="S13" s="2"/>
      <c r="T13" s="2"/>
      <c r="U13" s="2"/>
      <c r="V13" s="2"/>
      <c r="W13" s="2"/>
      <c r="X13" s="2"/>
      <c r="Y13" s="2"/>
      <c r="Z13" s="2"/>
    </row>
    <row r="14">
      <c r="A14" s="5" t="str">
        <f>IFERROR(__xludf.DUMMYFUNCTION("LEFT(A13, 4) &amp; TEXT(VALUE(REGEXEXTRACT(A13, ""\d+"")) + 1, ""0000"")"),"ZOO-0012")</f>
        <v>ZOO-0012</v>
      </c>
      <c r="B14" s="3" t="s">
        <v>1096</v>
      </c>
      <c r="C14" s="3" t="s">
        <v>1105</v>
      </c>
      <c r="D14" s="2" t="str">
        <f t="shared" si="1"/>
        <v>LINKAR COM FERA | M</v>
      </c>
      <c r="E14" s="3" t="s">
        <v>48</v>
      </c>
      <c r="F14" s="3" t="s">
        <v>28</v>
      </c>
      <c r="G14" s="3" t="s">
        <v>22</v>
      </c>
      <c r="H14" s="3" t="s">
        <v>1106</v>
      </c>
      <c r="I14" s="3">
        <v>4.0</v>
      </c>
      <c r="J14" s="3" t="s">
        <v>50</v>
      </c>
      <c r="K14" s="3" t="s">
        <v>95</v>
      </c>
      <c r="L14" s="6" t="s">
        <v>70</v>
      </c>
      <c r="M14" s="3" t="s">
        <v>124</v>
      </c>
      <c r="N14" s="3" t="s">
        <v>1111</v>
      </c>
      <c r="O14" s="3" t="s">
        <v>824</v>
      </c>
      <c r="P14" s="3" t="s">
        <v>1108</v>
      </c>
      <c r="Q14" s="3" t="s">
        <v>1109</v>
      </c>
      <c r="R14" s="2"/>
      <c r="S14" s="2"/>
      <c r="T14" s="2"/>
      <c r="U14" s="2"/>
      <c r="V14" s="2"/>
      <c r="W14" s="2"/>
      <c r="X14" s="2"/>
      <c r="Y14" s="2"/>
      <c r="Z14" s="2"/>
    </row>
    <row r="15">
      <c r="A15" s="5" t="str">
        <f>IFERROR(__xludf.DUMMYFUNCTION("LEFT(A14, 4) &amp; TEXT(VALUE(REGEXEXTRACT(A14, ""\d+"")) + 1, ""0000"")"),"ZOO-0013")</f>
        <v>ZOO-0013</v>
      </c>
      <c r="B15" s="3" t="s">
        <v>1096</v>
      </c>
      <c r="C15" s="3" t="s">
        <v>1105</v>
      </c>
      <c r="D15" s="2" t="str">
        <f t="shared" si="1"/>
        <v>LINKAR COM FERA | M</v>
      </c>
      <c r="E15" s="3" t="s">
        <v>48</v>
      </c>
      <c r="F15" s="3" t="s">
        <v>29</v>
      </c>
      <c r="G15" s="3" t="s">
        <v>22</v>
      </c>
      <c r="H15" s="3" t="s">
        <v>1106</v>
      </c>
      <c r="I15" s="3">
        <v>4.0</v>
      </c>
      <c r="J15" s="3" t="s">
        <v>50</v>
      </c>
      <c r="K15" s="3" t="s">
        <v>95</v>
      </c>
      <c r="L15" s="6" t="s">
        <v>72</v>
      </c>
      <c r="M15" s="3" t="s">
        <v>124</v>
      </c>
      <c r="N15" s="3" t="s">
        <v>1112</v>
      </c>
      <c r="O15" s="3" t="s">
        <v>825</v>
      </c>
      <c r="P15" s="3" t="s">
        <v>1108</v>
      </c>
      <c r="Q15" s="3" t="s">
        <v>1109</v>
      </c>
      <c r="R15" s="2"/>
      <c r="S15" s="2"/>
      <c r="T15" s="2"/>
      <c r="U15" s="2"/>
      <c r="V15" s="2"/>
      <c r="W15" s="2"/>
      <c r="X15" s="2"/>
      <c r="Y15" s="2"/>
      <c r="Z15" s="2"/>
    </row>
    <row r="16">
      <c r="A16" s="5" t="str">
        <f>IFERROR(__xludf.DUMMYFUNCTION("LEFT(A15, 4) &amp; TEXT(VALUE(REGEXEXTRACT(A15, ""\d+"")) + 1, ""0000"")"),"ZOO-0014")</f>
        <v>ZOO-0014</v>
      </c>
      <c r="B16" s="3" t="s">
        <v>1096</v>
      </c>
      <c r="C16" s="3" t="s">
        <v>1105</v>
      </c>
      <c r="D16" s="2" t="str">
        <f t="shared" si="1"/>
        <v>LINKAR COM FERA | M</v>
      </c>
      <c r="E16" s="3" t="s">
        <v>48</v>
      </c>
      <c r="F16" s="3" t="s">
        <v>30</v>
      </c>
      <c r="G16" s="3" t="s">
        <v>22</v>
      </c>
      <c r="H16" s="3" t="s">
        <v>1106</v>
      </c>
      <c r="I16" s="3">
        <v>4.0</v>
      </c>
      <c r="J16" s="3" t="s">
        <v>23</v>
      </c>
      <c r="K16" s="3" t="s">
        <v>95</v>
      </c>
      <c r="L16" s="6" t="s">
        <v>39</v>
      </c>
      <c r="M16" s="3" t="s">
        <v>124</v>
      </c>
      <c r="N16" s="3" t="s">
        <v>1113</v>
      </c>
      <c r="O16" s="3" t="s">
        <v>283</v>
      </c>
      <c r="P16" s="3" t="s">
        <v>1108</v>
      </c>
      <c r="Q16" s="3" t="s">
        <v>1109</v>
      </c>
      <c r="R16" s="2"/>
      <c r="S16" s="2"/>
      <c r="T16" s="2"/>
      <c r="U16" s="2"/>
      <c r="V16" s="2"/>
      <c r="W16" s="2"/>
      <c r="X16" s="2"/>
      <c r="Y16" s="2"/>
      <c r="Z16" s="2"/>
    </row>
    <row r="17">
      <c r="A17" s="5" t="str">
        <f>IFERROR(__xludf.DUMMYFUNCTION("LEFT(A16, 4) &amp; TEXT(VALUE(REGEXEXTRACT(A16, ""\d+"")) + 1, ""0000"")"),"ZOO-0015")</f>
        <v>ZOO-0015</v>
      </c>
      <c r="B17" s="3" t="s">
        <v>1096</v>
      </c>
      <c r="C17" s="3" t="s">
        <v>1114</v>
      </c>
      <c r="D17" s="2" t="str">
        <f t="shared" si="1"/>
        <v>INVOCAR FERA | M</v>
      </c>
      <c r="E17" s="3" t="s">
        <v>48</v>
      </c>
      <c r="F17" s="3" t="s">
        <v>21</v>
      </c>
      <c r="G17" s="3" t="s">
        <v>214</v>
      </c>
      <c r="H17" s="3" t="s">
        <v>1115</v>
      </c>
      <c r="I17" s="3">
        <v>4.0</v>
      </c>
      <c r="J17" s="3" t="s">
        <v>50</v>
      </c>
      <c r="K17" s="3" t="s">
        <v>95</v>
      </c>
      <c r="L17" s="3" t="s">
        <v>1116</v>
      </c>
      <c r="M17" s="3" t="s">
        <v>124</v>
      </c>
      <c r="N17" s="3" t="s">
        <v>1117</v>
      </c>
      <c r="O17" s="3" t="s">
        <v>1118</v>
      </c>
      <c r="P17" s="3" t="s">
        <v>1119</v>
      </c>
      <c r="Q17" s="3" t="s">
        <v>1120</v>
      </c>
      <c r="R17" s="2"/>
      <c r="S17" s="2"/>
      <c r="T17" s="2"/>
      <c r="U17" s="2"/>
      <c r="V17" s="2"/>
      <c r="W17" s="2"/>
      <c r="X17" s="2"/>
      <c r="Y17" s="2"/>
      <c r="Z17" s="2"/>
    </row>
    <row r="18">
      <c r="A18" s="5" t="str">
        <f>IFERROR(__xludf.DUMMYFUNCTION("LEFT(A17, 4) &amp; TEXT(VALUE(REGEXEXTRACT(A17, ""\d+"")) + 1, ""0000"")"),"ZOO-0016")</f>
        <v>ZOO-0016</v>
      </c>
      <c r="B18" s="3" t="s">
        <v>1096</v>
      </c>
      <c r="C18" s="3" t="s">
        <v>1114</v>
      </c>
      <c r="D18" s="2" t="str">
        <f t="shared" si="1"/>
        <v>INVOCAR FERA | M</v>
      </c>
      <c r="E18" s="3" t="s">
        <v>48</v>
      </c>
      <c r="F18" s="3" t="s">
        <v>27</v>
      </c>
      <c r="G18" s="3" t="s">
        <v>214</v>
      </c>
      <c r="H18" s="3" t="s">
        <v>1115</v>
      </c>
      <c r="I18" s="3">
        <v>4.0</v>
      </c>
      <c r="J18" s="3" t="s">
        <v>50</v>
      </c>
      <c r="K18" s="3" t="s">
        <v>95</v>
      </c>
      <c r="L18" s="3" t="s">
        <v>1116</v>
      </c>
      <c r="M18" s="3" t="s">
        <v>124</v>
      </c>
      <c r="N18" s="3" t="s">
        <v>1117</v>
      </c>
      <c r="O18" s="3" t="s">
        <v>1118</v>
      </c>
      <c r="P18" s="3" t="s">
        <v>1119</v>
      </c>
      <c r="Q18" s="3" t="s">
        <v>1120</v>
      </c>
      <c r="R18" s="2"/>
      <c r="S18" s="2"/>
      <c r="T18" s="2"/>
      <c r="U18" s="2"/>
      <c r="V18" s="2"/>
      <c r="W18" s="2"/>
      <c r="X18" s="2"/>
      <c r="Y18" s="2"/>
      <c r="Z18" s="2"/>
    </row>
    <row r="19">
      <c r="A19" s="5" t="str">
        <f>IFERROR(__xludf.DUMMYFUNCTION("LEFT(A18, 4) &amp; TEXT(VALUE(REGEXEXTRACT(A18, ""\d+"")) + 1, ""0000"")"),"ZOO-0017")</f>
        <v>ZOO-0017</v>
      </c>
      <c r="B19" s="3" t="s">
        <v>1096</v>
      </c>
      <c r="C19" s="3" t="s">
        <v>1114</v>
      </c>
      <c r="D19" s="2" t="str">
        <f t="shared" si="1"/>
        <v>INVOCAR FERA | M</v>
      </c>
      <c r="E19" s="3" t="s">
        <v>48</v>
      </c>
      <c r="F19" s="3" t="s">
        <v>28</v>
      </c>
      <c r="G19" s="3" t="s">
        <v>214</v>
      </c>
      <c r="H19" s="3" t="s">
        <v>1115</v>
      </c>
      <c r="I19" s="3">
        <v>4.0</v>
      </c>
      <c r="J19" s="3" t="s">
        <v>50</v>
      </c>
      <c r="K19" s="3" t="s">
        <v>95</v>
      </c>
      <c r="L19" s="3" t="s">
        <v>1116</v>
      </c>
      <c r="M19" s="3" t="s">
        <v>124</v>
      </c>
      <c r="N19" s="3" t="s">
        <v>1117</v>
      </c>
      <c r="O19" s="3" t="s">
        <v>1118</v>
      </c>
      <c r="P19" s="3" t="s">
        <v>1119</v>
      </c>
      <c r="Q19" s="3" t="s">
        <v>1120</v>
      </c>
      <c r="R19" s="2"/>
      <c r="S19" s="2"/>
      <c r="T19" s="2"/>
      <c r="U19" s="2"/>
      <c r="V19" s="2"/>
      <c r="W19" s="2"/>
      <c r="X19" s="2"/>
      <c r="Y19" s="2"/>
      <c r="Z19" s="2"/>
    </row>
    <row r="20">
      <c r="A20" s="5" t="str">
        <f>IFERROR(__xludf.DUMMYFUNCTION("LEFT(A19, 4) &amp; TEXT(VALUE(REGEXEXTRACT(A19, ""\d+"")) + 1, ""0000"")"),"ZOO-0018")</f>
        <v>ZOO-0018</v>
      </c>
      <c r="B20" s="3" t="s">
        <v>1096</v>
      </c>
      <c r="C20" s="3" t="s">
        <v>1114</v>
      </c>
      <c r="D20" s="2" t="str">
        <f t="shared" si="1"/>
        <v>INVOCAR FERA | M</v>
      </c>
      <c r="E20" s="3" t="s">
        <v>48</v>
      </c>
      <c r="F20" s="3" t="s">
        <v>29</v>
      </c>
      <c r="G20" s="3" t="s">
        <v>214</v>
      </c>
      <c r="H20" s="3" t="s">
        <v>1115</v>
      </c>
      <c r="I20" s="3">
        <v>4.0</v>
      </c>
      <c r="J20" s="3" t="s">
        <v>50</v>
      </c>
      <c r="K20" s="3" t="s">
        <v>95</v>
      </c>
      <c r="L20" s="3" t="s">
        <v>1116</v>
      </c>
      <c r="M20" s="3" t="s">
        <v>124</v>
      </c>
      <c r="N20" s="3" t="s">
        <v>1117</v>
      </c>
      <c r="O20" s="3" t="s">
        <v>1118</v>
      </c>
      <c r="P20" s="3" t="s">
        <v>1119</v>
      </c>
      <c r="Q20" s="3" t="s">
        <v>1120</v>
      </c>
      <c r="R20" s="2"/>
      <c r="S20" s="2"/>
      <c r="T20" s="2"/>
      <c r="U20" s="2"/>
      <c r="V20" s="2"/>
      <c r="W20" s="2"/>
      <c r="X20" s="2"/>
      <c r="Y20" s="2"/>
      <c r="Z20" s="2"/>
    </row>
    <row r="21">
      <c r="A21" s="5" t="str">
        <f>IFERROR(__xludf.DUMMYFUNCTION("LEFT(A20, 4) &amp; TEXT(VALUE(REGEXEXTRACT(A20, ""\d+"")) + 1, ""0000"")"),"ZOO-0019")</f>
        <v>ZOO-0019</v>
      </c>
      <c r="B21" s="3" t="s">
        <v>1096</v>
      </c>
      <c r="C21" s="3" t="s">
        <v>1114</v>
      </c>
      <c r="D21" s="2" t="str">
        <f t="shared" si="1"/>
        <v>INVOCAR FERA | M</v>
      </c>
      <c r="E21" s="3" t="s">
        <v>48</v>
      </c>
      <c r="F21" s="3" t="s">
        <v>30</v>
      </c>
      <c r="G21" s="3" t="s">
        <v>214</v>
      </c>
      <c r="H21" s="3" t="s">
        <v>1115</v>
      </c>
      <c r="I21" s="3">
        <v>4.0</v>
      </c>
      <c r="J21" s="3" t="s">
        <v>23</v>
      </c>
      <c r="K21" s="3" t="s">
        <v>95</v>
      </c>
      <c r="L21" s="3" t="s">
        <v>1116</v>
      </c>
      <c r="M21" s="3" t="s">
        <v>124</v>
      </c>
      <c r="N21" s="3" t="s">
        <v>1117</v>
      </c>
      <c r="O21" s="3" t="s">
        <v>1118</v>
      </c>
      <c r="P21" s="3" t="s">
        <v>1119</v>
      </c>
      <c r="Q21" s="3" t="s">
        <v>1120</v>
      </c>
      <c r="R21" s="2"/>
      <c r="S21" s="2"/>
      <c r="T21" s="2"/>
      <c r="U21" s="2"/>
      <c r="V21" s="2"/>
      <c r="W21" s="2"/>
      <c r="X21" s="2"/>
      <c r="Y21" s="2"/>
      <c r="Z21" s="2"/>
    </row>
    <row r="22">
      <c r="A22" s="5" t="str">
        <f>IFERROR(__xludf.DUMMYFUNCTION("LEFT(A21, 4) &amp; TEXT(VALUE(REGEXEXTRACT(A21, ""\d+"")) + 1, ""0000"")"),"ZOO-0020")</f>
        <v>ZOO-0020</v>
      </c>
      <c r="B22" s="3" t="s">
        <v>1096</v>
      </c>
      <c r="C22" s="3" t="s">
        <v>1121</v>
      </c>
      <c r="D22" s="2" t="str">
        <f t="shared" si="1"/>
        <v>CONTROLAR FERA | M</v>
      </c>
      <c r="E22" s="3" t="s">
        <v>48</v>
      </c>
      <c r="F22" s="3" t="s">
        <v>21</v>
      </c>
      <c r="G22" s="3" t="s">
        <v>329</v>
      </c>
      <c r="H22" s="3" t="s">
        <v>1115</v>
      </c>
      <c r="I22" s="3">
        <v>4.0</v>
      </c>
      <c r="J22" s="3" t="s">
        <v>50</v>
      </c>
      <c r="K22" s="3" t="s">
        <v>95</v>
      </c>
      <c r="L22" s="6" t="s">
        <v>65</v>
      </c>
      <c r="M22" s="3" t="s">
        <v>124</v>
      </c>
      <c r="N22" s="3" t="s">
        <v>1122</v>
      </c>
      <c r="O22" s="3" t="s">
        <v>126</v>
      </c>
      <c r="P22" s="3" t="s">
        <v>1123</v>
      </c>
      <c r="Q22" s="3" t="s">
        <v>1124</v>
      </c>
      <c r="R22" s="2"/>
      <c r="S22" s="2"/>
      <c r="T22" s="2"/>
      <c r="U22" s="2"/>
      <c r="V22" s="2"/>
      <c r="W22" s="2"/>
      <c r="X22" s="2"/>
      <c r="Y22" s="2"/>
      <c r="Z22" s="2"/>
    </row>
    <row r="23">
      <c r="A23" s="5" t="str">
        <f>IFERROR(__xludf.DUMMYFUNCTION("LEFT(A22, 4) &amp; TEXT(VALUE(REGEXEXTRACT(A22, ""\d+"")) + 1, ""0000"")"),"ZOO-0021")</f>
        <v>ZOO-0021</v>
      </c>
      <c r="B23" s="3" t="s">
        <v>1096</v>
      </c>
      <c r="C23" s="3" t="s">
        <v>1121</v>
      </c>
      <c r="D23" s="2" t="str">
        <f t="shared" si="1"/>
        <v>CONTROLAR FERA | M</v>
      </c>
      <c r="E23" s="3" t="s">
        <v>48</v>
      </c>
      <c r="F23" s="3" t="s">
        <v>27</v>
      </c>
      <c r="G23" s="3" t="s">
        <v>329</v>
      </c>
      <c r="H23" s="3" t="s">
        <v>1115</v>
      </c>
      <c r="I23" s="3">
        <v>4.0</v>
      </c>
      <c r="J23" s="3" t="s">
        <v>50</v>
      </c>
      <c r="K23" s="3" t="s">
        <v>95</v>
      </c>
      <c r="L23" s="6" t="s">
        <v>35</v>
      </c>
      <c r="M23" s="3" t="s">
        <v>124</v>
      </c>
      <c r="N23" s="3" t="s">
        <v>1125</v>
      </c>
      <c r="O23" s="3" t="s">
        <v>126</v>
      </c>
      <c r="P23" s="3" t="s">
        <v>1123</v>
      </c>
      <c r="Q23" s="3" t="s">
        <v>1124</v>
      </c>
      <c r="R23" s="2"/>
      <c r="S23" s="2"/>
      <c r="T23" s="2"/>
      <c r="U23" s="2"/>
      <c r="V23" s="2"/>
      <c r="W23" s="2"/>
      <c r="X23" s="2"/>
      <c r="Y23" s="2"/>
      <c r="Z23" s="2"/>
    </row>
    <row r="24">
      <c r="A24" s="5" t="str">
        <f>IFERROR(__xludf.DUMMYFUNCTION("LEFT(A23, 4) &amp; TEXT(VALUE(REGEXEXTRACT(A23, ""\d+"")) + 1, ""0000"")"),"ZOO-0022")</f>
        <v>ZOO-0022</v>
      </c>
      <c r="B24" s="3" t="s">
        <v>1096</v>
      </c>
      <c r="C24" s="3" t="s">
        <v>1121</v>
      </c>
      <c r="D24" s="2" t="str">
        <f t="shared" si="1"/>
        <v>CONTROLAR FERA | M</v>
      </c>
      <c r="E24" s="3" t="s">
        <v>48</v>
      </c>
      <c r="F24" s="3" t="s">
        <v>28</v>
      </c>
      <c r="G24" s="3" t="s">
        <v>329</v>
      </c>
      <c r="H24" s="3" t="s">
        <v>1115</v>
      </c>
      <c r="I24" s="3">
        <v>4.0</v>
      </c>
      <c r="J24" s="3" t="s">
        <v>50</v>
      </c>
      <c r="K24" s="3" t="s">
        <v>95</v>
      </c>
      <c r="L24" s="6" t="s">
        <v>70</v>
      </c>
      <c r="M24" s="3" t="s">
        <v>124</v>
      </c>
      <c r="N24" s="3" t="s">
        <v>1126</v>
      </c>
      <c r="O24" s="3" t="s">
        <v>131</v>
      </c>
      <c r="P24" s="3" t="s">
        <v>1123</v>
      </c>
      <c r="Q24" s="3" t="s">
        <v>1124</v>
      </c>
      <c r="R24" s="2"/>
      <c r="S24" s="2"/>
      <c r="T24" s="2"/>
      <c r="U24" s="2"/>
      <c r="V24" s="2"/>
      <c r="W24" s="2"/>
      <c r="X24" s="2"/>
      <c r="Y24" s="2"/>
      <c r="Z24" s="2"/>
    </row>
    <row r="25">
      <c r="A25" s="5" t="str">
        <f>IFERROR(__xludf.DUMMYFUNCTION("LEFT(A24, 4) &amp; TEXT(VALUE(REGEXEXTRACT(A24, ""\d+"")) + 1, ""0000"")"),"ZOO-0023")</f>
        <v>ZOO-0023</v>
      </c>
      <c r="B25" s="3" t="s">
        <v>1096</v>
      </c>
      <c r="C25" s="3" t="s">
        <v>1121</v>
      </c>
      <c r="D25" s="2" t="str">
        <f t="shared" si="1"/>
        <v>CONTROLAR FERA | M</v>
      </c>
      <c r="E25" s="3" t="s">
        <v>48</v>
      </c>
      <c r="F25" s="3" t="s">
        <v>29</v>
      </c>
      <c r="G25" s="3" t="s">
        <v>329</v>
      </c>
      <c r="H25" s="3" t="s">
        <v>1115</v>
      </c>
      <c r="I25" s="3">
        <v>4.0</v>
      </c>
      <c r="J25" s="3" t="s">
        <v>50</v>
      </c>
      <c r="K25" s="3" t="s">
        <v>95</v>
      </c>
      <c r="L25" s="6" t="s">
        <v>72</v>
      </c>
      <c r="M25" s="3" t="s">
        <v>124</v>
      </c>
      <c r="N25" s="3" t="s">
        <v>1127</v>
      </c>
      <c r="O25" s="3" t="s">
        <v>131</v>
      </c>
      <c r="P25" s="3" t="s">
        <v>1123</v>
      </c>
      <c r="Q25" s="3" t="s">
        <v>1124</v>
      </c>
      <c r="R25" s="2"/>
      <c r="S25" s="2"/>
      <c r="T25" s="2"/>
      <c r="U25" s="2"/>
      <c r="V25" s="2"/>
      <c r="W25" s="2"/>
      <c r="X25" s="2"/>
      <c r="Y25" s="2"/>
      <c r="Z25" s="2"/>
    </row>
    <row r="26">
      <c r="A26" s="5" t="str">
        <f>IFERROR(__xludf.DUMMYFUNCTION("LEFT(A25, 4) &amp; TEXT(VALUE(REGEXEXTRACT(A25, ""\d+"")) + 1, ""0000"")"),"ZOO-0024")</f>
        <v>ZOO-0024</v>
      </c>
      <c r="B26" s="3" t="s">
        <v>1096</v>
      </c>
      <c r="C26" s="3" t="s">
        <v>1121</v>
      </c>
      <c r="D26" s="2" t="str">
        <f t="shared" si="1"/>
        <v>CONTROLAR FERA | M</v>
      </c>
      <c r="E26" s="3" t="s">
        <v>48</v>
      </c>
      <c r="F26" s="3" t="s">
        <v>30</v>
      </c>
      <c r="G26" s="3" t="s">
        <v>329</v>
      </c>
      <c r="H26" s="3" t="s">
        <v>1115</v>
      </c>
      <c r="I26" s="3">
        <v>4.0</v>
      </c>
      <c r="J26" s="3" t="s">
        <v>23</v>
      </c>
      <c r="K26" s="3" t="s">
        <v>95</v>
      </c>
      <c r="L26" s="6" t="s">
        <v>39</v>
      </c>
      <c r="M26" s="3" t="s">
        <v>124</v>
      </c>
      <c r="N26" s="3" t="s">
        <v>1128</v>
      </c>
      <c r="O26" s="3" t="s">
        <v>136</v>
      </c>
      <c r="P26" s="3" t="s">
        <v>1123</v>
      </c>
      <c r="Q26" s="3" t="s">
        <v>1124</v>
      </c>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drawing r:id="rId1"/>
</worksheet>
</file>